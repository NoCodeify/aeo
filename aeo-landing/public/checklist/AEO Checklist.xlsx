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chnical Foundation" sheetId="2" state="visible" r:id="rId2"/>
    <sheet name="Content Optimization" sheetId="3" state="visible" r:id="rId3"/>
    <sheet name="Trust and Authority" sheetId="4" state="visible" r:id="rId4"/>
    <sheet name="LLM-Specific Optimization" sheetId="5" state="visible" r:id="rId5"/>
    <sheet name="Monitoring and Analytics" sheetId="6" state="visible" r:id="rId6"/>
    <sheet name="Content Strategy" sheetId="7" state="visible" r:id="rId7"/>
    <sheet name="Competitive Intellig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" customWidth="1" min="4" max="4"/>
    <col width="8" customWidth="1" min="5" max="5"/>
  </cols>
  <sheetData>
    <row r="1">
      <c r="A1" s="1" t="inlineStr">
        <is>
          <t>Category</t>
        </is>
      </c>
      <c r="B1" s="1" t="inlineStr">
        <is>
          <t>All Tasks</t>
        </is>
      </c>
      <c r="C1" s="1" t="inlineStr">
        <is>
          <t>To Improve</t>
        </is>
      </c>
      <c r="D1" s="1" t="inlineStr">
        <is>
          <t>Done</t>
        </is>
      </c>
      <c r="E1" s="1" t="inlineStr">
        <is>
          <t>%</t>
        </is>
      </c>
    </row>
    <row r="2">
      <c r="A2" s="2" t="inlineStr">
        <is>
          <t>Technical Foundation</t>
        </is>
      </c>
      <c r="B2" t="n">
        <v>14</v>
      </c>
      <c r="C2">
        <f>COUNTIFS('Technical Foundation'!D:D,"Bad")+COUNTIFS('Technical Foundation'!D:D,"Can be Improved")</f>
        <v/>
      </c>
      <c r="D2">
        <f>COUNTIFS('Technical Foundation'!A:A,TRUE)</f>
        <v/>
      </c>
      <c r="E2" s="3">
        <f>IF(B2&gt;0,D2/B2,0)</f>
        <v/>
      </c>
    </row>
    <row r="3">
      <c r="A3" s="2" t="inlineStr">
        <is>
          <t>Content Optimization</t>
        </is>
      </c>
      <c r="B3" t="n">
        <v>18</v>
      </c>
      <c r="C3">
        <f>COUNTIFS('Content Optimization'!D:D,"Bad")+COUNTIFS('Content Optimization'!D:D,"Can be Improved")</f>
        <v/>
      </c>
      <c r="D3">
        <f>COUNTIFS('Content Optimization'!A:A,TRUE)</f>
        <v/>
      </c>
      <c r="E3" s="3">
        <f>IF(B3&gt;0,D3/B3,0)</f>
        <v/>
      </c>
    </row>
    <row r="4">
      <c r="A4" s="2" t="inlineStr">
        <is>
          <t>Trust and Authority</t>
        </is>
      </c>
      <c r="B4" t="n">
        <v>15</v>
      </c>
      <c r="C4">
        <f>COUNTIFS('Trust and Authority'!D:D,"Bad")+COUNTIFS('Trust and Authority'!D:D,"Can be Improved")</f>
        <v/>
      </c>
      <c r="D4">
        <f>COUNTIFS('Trust and Authority'!A:A,TRUE)</f>
        <v/>
      </c>
      <c r="E4" s="3">
        <f>IF(B4&gt;0,D4/B4,0)</f>
        <v/>
      </c>
    </row>
    <row r="5">
      <c r="A5" s="2" t="inlineStr">
        <is>
          <t>LLM-Specific Optimization</t>
        </is>
      </c>
      <c r="B5" t="n">
        <v>18</v>
      </c>
      <c r="C5">
        <f>COUNTIFS('LLM-Specific Optimization'!D:D,"Bad")+COUNTIFS('LLM-Specific Optimization'!D:D,"Can be Improved")</f>
        <v/>
      </c>
      <c r="D5">
        <f>COUNTIFS('LLM-Specific Optimization'!A:A,TRUE)</f>
        <v/>
      </c>
      <c r="E5" s="3">
        <f>IF(B5&gt;0,D5/B5,0)</f>
        <v/>
      </c>
    </row>
    <row r="6">
      <c r="A6" s="2" t="inlineStr">
        <is>
          <t>Monitoring and Analytics</t>
        </is>
      </c>
      <c r="B6" t="n">
        <v>12</v>
      </c>
      <c r="C6">
        <f>COUNTIFS('Monitoring and Analytics'!D:D,"Bad")+COUNTIFS('Monitoring and Analytics'!D:D,"Can be Improved")</f>
        <v/>
      </c>
      <c r="D6">
        <f>COUNTIFS('Monitoring and Analytics'!A:A,TRUE)</f>
        <v/>
      </c>
      <c r="E6" s="3">
        <f>IF(B6&gt;0,D6/B6,0)</f>
        <v/>
      </c>
    </row>
    <row r="7">
      <c r="A7" s="2" t="inlineStr">
        <is>
          <t>Content Strategy</t>
        </is>
      </c>
      <c r="B7" t="n">
        <v>12</v>
      </c>
      <c r="C7">
        <f>COUNTIFS('Content Strategy'!D:D,"Bad")+COUNTIFS('Content Strategy'!D:D,"Can be Improved")</f>
        <v/>
      </c>
      <c r="D7">
        <f>COUNTIFS('Content Strategy'!A:A,TRUE)</f>
        <v/>
      </c>
      <c r="E7" s="3">
        <f>IF(B7&gt;0,D7/B7,0)</f>
        <v/>
      </c>
    </row>
    <row r="8">
      <c r="A8" s="2" t="inlineStr">
        <is>
          <t>Competitive Intelligence</t>
        </is>
      </c>
      <c r="B8" t="n">
        <v>10</v>
      </c>
      <c r="C8">
        <f>COUNTIFS('Competitive Intelligence'!D:D,"Bad")+COUNTIFS('Competitive Intelligence'!D:D,"Can be Improved")</f>
        <v/>
      </c>
      <c r="D8">
        <f>COUNTIFS('Competitive Intelligence'!A:A,TRUE)</f>
        <v/>
      </c>
      <c r="E8" s="3">
        <f>IF(B8&gt;0,D8/B8,0)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88" customWidth="1" min="1" max="1"/>
    <col width="79" customWidth="1" min="2" max="2"/>
    <col width="10.25" customWidth="1" min="3" max="3"/>
    <col width="17" customWidth="1" min="4" max="4"/>
    <col width="10.88" customWidth="1" min="5" max="5"/>
    <col width="6" customWidth="1" min="6" max="6"/>
    <col width="8" customWidth="1" min="7" max="7"/>
    <col width="6" customWidth="1" min="8" max="8"/>
    <col width="8" customWidth="1" min="9" max="9"/>
    <col width="10" customWidth="1" min="10" max="10"/>
    <col width="6" customWidth="1" min="11" max="11"/>
    <col width="5" customWidth="1" min="12" max="12"/>
    <col width="10" customWidth="1" min="13" max="13"/>
  </cols>
  <sheetData>
    <row r="1">
      <c r="A1" s="4" t="inlineStr"/>
      <c r="B1" s="4" t="inlineStr">
        <is>
          <t>Technical Foundation - AEO Checkpoint</t>
        </is>
      </c>
      <c r="C1" s="4" t="inlineStr">
        <is>
          <t>Example</t>
        </is>
      </c>
      <c r="D1" s="4" t="inlineStr">
        <is>
          <t>Evaluation</t>
        </is>
      </c>
      <c r="E1" s="4" t="inlineStr">
        <is>
          <t>Factor</t>
        </is>
      </c>
      <c r="F1" s="4" t="inlineStr">
        <is>
          <t>Impact</t>
        </is>
      </c>
      <c r="G1" s="4" t="inlineStr">
        <is>
          <t>Impact</t>
        </is>
      </c>
      <c r="H1" s="4" t="inlineStr">
        <is>
          <t>Cost</t>
        </is>
      </c>
      <c r="I1" s="4" t="inlineStr">
        <is>
          <t>Cost</t>
        </is>
      </c>
      <c r="J1" s="4" t="inlineStr">
        <is>
          <t>Cost for Sum</t>
        </is>
      </c>
      <c r="K1" s="4" t="inlineStr">
        <is>
          <t>Sum</t>
        </is>
      </c>
      <c r="L1" s="4" t="inlineStr">
        <is>
          <t>Max</t>
        </is>
      </c>
      <c r="M1" s="4" t="inlineStr">
        <is>
          <t>Priority</t>
        </is>
      </c>
    </row>
    <row r="2">
      <c r="A2" s="5" t="n"/>
      <c r="B2" s="1" t="inlineStr">
        <is>
          <t>Technical Foundation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b">
        <v>0</v>
      </c>
      <c r="B3" s="6" t="inlineStr">
        <is>
          <t>robots.txt allows AI crawlers (GPTBot, OAI-SearchBot, ChatGPT-User, ClaudeBot, PerplexityBot, Applebot, Bytespider)</t>
        </is>
      </c>
      <c r="C3" s="6" t="inlineStr">
        <is>
          <t>User-agent: GPTBot / Allow: /</t>
        </is>
      </c>
      <c r="E3">
        <f>IF(D3="Not Relevant","",IF(D3="Good","",IF(D3="Bad",1.33,1)))</f>
        <v/>
      </c>
      <c r="G3">
        <f>IFERROR(SPARKLINE(F3,{"charttype","bar";"max",3;"min",1;"color1",IF(F3=3,"#4078DD",IF(F3=2,"#9CB7E9","#CED9EF"))}),"")</f>
        <v/>
      </c>
      <c r="I3">
        <f>IFERROR(SPARKLINE(H3,{"charttype","bar";"max",3;"min",1;"color1",IF(H3=3,"#4078DD",IF(H3=2,"#9CB7E9","#CED9EF"))}),"")</f>
        <v/>
      </c>
      <c r="J3">
        <f>IF(H3=1,3,IF(H3=2,2,1))</f>
        <v/>
      </c>
      <c r="K3">
        <f>ROUNDUP(((J3+F3)*E3),1)</f>
        <v/>
      </c>
      <c r="L3" t="n">
        <v>8</v>
      </c>
      <c r="M3">
        <f>IFERROR(IF(A3=FALSE,SPARKLINE(K3:L3,{"charttype","bar";"max",8;"min",0;"color1",IF(K3&gt;=5,"green",IF(K3&lt;=3,"orange","#C9C21D"));"color2","#eeeeee"}),"Done"),"")</f>
        <v/>
      </c>
    </row>
    <row r="4">
      <c r="A4" t="b">
        <v>0</v>
      </c>
      <c r="B4" s="6" t="inlineStr">
        <is>
          <t>Critical pages server-side rendered (SSR)</t>
        </is>
      </c>
      <c r="C4" s="6" t="inlineStr">
        <is>
          <t>Homepage and pricing render full HTML without JavaScript</t>
        </is>
      </c>
      <c r="E4">
        <f>IF(D4="Not Relevant","",IF(D4="Good","",IF(D4="Bad",1.33,1)))</f>
        <v/>
      </c>
      <c r="G4">
        <f>IFERROR(SPARKLINE(F4,{"charttype","bar";"max",3;"min",1;"color1",IF(F4=3,"#4078DD",IF(F4=2,"#9CB7E9","#CED9EF"))}),"")</f>
        <v/>
      </c>
      <c r="I4">
        <f>IFERROR(SPARKLINE(H4,{"charttype","bar";"max",3;"min",1;"color1",IF(H4=3,"#4078DD",IF(H4=2,"#9CB7E9","#CED9EF"))}),"")</f>
        <v/>
      </c>
      <c r="J4">
        <f>IF(H4=1,3,IF(H4=2,2,1))</f>
        <v/>
      </c>
      <c r="K4">
        <f>ROUNDUP(((J4+F4)*E4),1)</f>
        <v/>
      </c>
      <c r="L4" t="n">
        <v>8</v>
      </c>
      <c r="M4">
        <f>IFERROR(IF(A4=FALSE,SPARKLINE(K4:L4,{"charttype","bar";"max",8;"min",0;"color1",IF(K4&gt;=5,"green",IF(K4&lt;=3,"orange","#C9C21D"));"color2","#eeeeee"}),"Done"),"")</f>
        <v/>
      </c>
    </row>
    <row r="5">
      <c r="A5" t="b">
        <v>0</v>
      </c>
      <c r="B5" s="6" t="inlineStr">
        <is>
          <t>Page load under 3 seconds</t>
        </is>
      </c>
      <c r="C5" s="6" t="inlineStr">
        <is>
          <t>Test via PageSpeed Insights or WebPageTest</t>
        </is>
      </c>
      <c r="E5">
        <f>IF(D5="Not Relevant","",IF(D5="Good","",IF(D5="Bad",1.33,1)))</f>
        <v/>
      </c>
      <c r="G5">
        <f>IFERROR(SPARKLINE(F5,{"charttype","bar";"max",3;"min",1;"color1",IF(F5=3,"#4078DD",IF(F5=2,"#9CB7E9","#CED9EF"))}),"")</f>
        <v/>
      </c>
      <c r="I5">
        <f>IFERROR(SPARKLINE(H5,{"charttype","bar";"max",3;"min",1;"color1",IF(H5=3,"#4078DD",IF(H5=2,"#9CB7E9","#CED9EF"))}),"")</f>
        <v/>
      </c>
      <c r="J5">
        <f>IF(H5=1,3,IF(H5=2,2,1))</f>
        <v/>
      </c>
      <c r="K5">
        <f>ROUNDUP(((J5+F5)*E5),1)</f>
        <v/>
      </c>
      <c r="L5" t="n">
        <v>8</v>
      </c>
      <c r="M5">
        <f>IFERROR(IF(A5=FALSE,SPARKLINE(K5:L5,{"charttype","bar";"max",8;"min",0;"color1",IF(K5&gt;=5,"green",IF(K5&lt;=3,"orange","#C9C21D"));"color2","#eeeeee"}),"Done"),"")</f>
        <v/>
      </c>
    </row>
    <row r="6">
      <c r="A6" t="b">
        <v>0</v>
      </c>
      <c r="B6" s="6" t="inlineStr">
        <is>
          <t>Schema.org markup on key pages (Organization, Product, FAQ, HowTo, SameAs)</t>
        </is>
      </c>
      <c r="C6" s="6" t="inlineStr">
        <is>
          <t>@type: Organization with sameAs linking to LinkedIn, Crunchbase, G2</t>
        </is>
      </c>
      <c r="E6">
        <f>IF(D6="Not Relevant","",IF(D6="Good","",IF(D6="Bad",1.33,1)))</f>
        <v/>
      </c>
      <c r="G6">
        <f>IFERROR(SPARKLINE(F6,{"charttype","bar";"max",3;"min",1;"color1",IF(F6=3,"#4078DD",IF(F6=2,"#9CB7E9","#CED9EF"))}),"")</f>
        <v/>
      </c>
      <c r="I6">
        <f>IFERROR(SPARKLINE(H6,{"charttype","bar";"max",3;"min",1;"color1",IF(H6=3,"#4078DD",IF(H6=2,"#9CB7E9","#CED9EF"))}),"")</f>
        <v/>
      </c>
      <c r="J6">
        <f>IF(H6=1,3,IF(H6=2,2,1))</f>
        <v/>
      </c>
      <c r="K6">
        <f>ROUNDUP(((J6+F6)*E6),1)</f>
        <v/>
      </c>
      <c r="L6" t="n">
        <v>8</v>
      </c>
      <c r="M6">
        <f>IFERROR(IF(A6=FALSE,SPARKLINE(K6:L6,{"charttype","bar";"max",8;"min",0;"color1",IF(K6&gt;=5,"green",IF(K6&lt;=3,"orange","#C9C21D"));"color2","#eeeeee"}),"Done"),"")</f>
        <v/>
      </c>
    </row>
    <row r="7">
      <c r="A7" t="b">
        <v>0</v>
      </c>
      <c r="B7" s="6" t="inlineStr">
        <is>
          <t>Sitemap.xml submitted to Google Search Console and Bing Webmaster Tools</t>
        </is>
      </c>
      <c r="C7" s="6" t="inlineStr">
        <is>
          <t>sitemap.xml includes all indexable pages with lastmod dates</t>
        </is>
      </c>
      <c r="E7">
        <f>IF(D7="Not Relevant","",IF(D7="Good","",IF(D7="Bad",1.33,1)))</f>
        <v/>
      </c>
      <c r="G7">
        <f>IFERROR(SPARKLINE(F7,{"charttype","bar";"max",3;"min",1;"color1",IF(F7=3,"#4078DD",IF(F7=2,"#9CB7E9","#CED9EF"))}),"")</f>
        <v/>
      </c>
      <c r="I7">
        <f>IFERROR(SPARKLINE(H7,{"charttype","bar";"max",3;"min",1;"color1",IF(H7=3,"#4078DD",IF(H7=2,"#9CB7E9","#CED9EF"))}),"")</f>
        <v/>
      </c>
      <c r="J7">
        <f>IF(H7=1,3,IF(H7=2,2,1))</f>
        <v/>
      </c>
      <c r="K7">
        <f>ROUNDUP(((J7+F7)*E7),1)</f>
        <v/>
      </c>
      <c r="L7" t="n">
        <v>8</v>
      </c>
      <c r="M7">
        <f>IFERROR(IF(A7=FALSE,SPARKLINE(K7:L7,{"charttype","bar";"max",8;"min",0;"color1",IF(K7&gt;=5,"green",IF(K7&lt;=3,"orange","#C9C21D"));"color2","#eeeeee"}),"Done"),"")</f>
        <v/>
      </c>
    </row>
    <row r="8">
      <c r="A8" t="b">
        <v>0</v>
      </c>
      <c r="B8" s="6" t="inlineStr">
        <is>
          <t>HTML tables on key pages for Gemini grounding</t>
        </is>
      </c>
      <c r="C8" s="6" t="inlineStr">
        <is>
          <t>&lt;table&gt; with pricing tiers, feature comparisons, stats</t>
        </is>
      </c>
      <c r="E8">
        <f>IF(D8="Not Relevant","",IF(D8="Good","",IF(D8="Bad",1.33,1)))</f>
        <v/>
      </c>
      <c r="G8">
        <f>IFERROR(SPARKLINE(F8,{"charttype","bar";"max",3;"min",1;"color1",IF(F8=3,"#4078DD",IF(F8=2,"#9CB7E9","#CED9EF"))}),"")</f>
        <v/>
      </c>
      <c r="I8">
        <f>IFERROR(SPARKLINE(H8,{"charttype","bar";"max",3;"min",1;"color1",IF(H8=3,"#4078DD",IF(H8=2,"#9CB7E9","#CED9EF"))}),"")</f>
        <v/>
      </c>
      <c r="J8">
        <f>IF(H8=1,3,IF(H8=2,2,1))</f>
        <v/>
      </c>
      <c r="K8">
        <f>ROUNDUP(((J8+F8)*E8),1)</f>
        <v/>
      </c>
      <c r="L8" t="n">
        <v>8</v>
      </c>
      <c r="M8">
        <f>IFERROR(IF(A8=FALSE,SPARKLINE(K8:L8,{"charttype","bar";"max",8;"min",0;"color1",IF(K8&gt;=5,"green",IF(K8&lt;=3,"orange","#C9C21D"));"color2","#eeeeee"}),"Done"),"")</f>
        <v/>
      </c>
    </row>
    <row r="9">
      <c r="A9" t="b">
        <v>0</v>
      </c>
      <c r="B9" s="6" t="inlineStr">
        <is>
          <t>HTTPS everywhere</t>
        </is>
      </c>
      <c r="C9" s="6" t="inlineStr">
        <is>
          <t>All pages load via https:// with no mixed content warnings</t>
        </is>
      </c>
      <c r="E9">
        <f>IF(D9="Not Relevant","",IF(D9="Good","",IF(D9="Bad",1.33,1)))</f>
        <v/>
      </c>
      <c r="G9">
        <f>IFERROR(SPARKLINE(F9,{"charttype","bar";"max",3;"min",1;"color1",IF(F9=3,"#4078DD",IF(F9=2,"#9CB7E9","#CED9EF"))}),"")</f>
        <v/>
      </c>
      <c r="I9">
        <f>IFERROR(SPARKLINE(H9,{"charttype","bar";"max",3;"min",1;"color1",IF(H9=3,"#4078DD",IF(H9=2,"#9CB7E9","#CED9EF"))}),"")</f>
        <v/>
      </c>
      <c r="J9">
        <f>IF(H9=1,3,IF(H9=2,2,1))</f>
        <v/>
      </c>
      <c r="K9">
        <f>ROUNDUP(((J9+F9)*E9),1)</f>
        <v/>
      </c>
      <c r="L9" t="n">
        <v>8</v>
      </c>
      <c r="M9">
        <f>IFERROR(IF(A9=FALSE,SPARKLINE(K9:L9,{"charttype","bar";"max",8;"min",0;"color1",IF(K9&gt;=5,"green",IF(K9&lt;=3,"orange","#C9C21D"));"color2","#eeeeee"}),"Done"),"")</f>
        <v/>
      </c>
    </row>
    <row r="10">
      <c r="A10" t="b">
        <v>0</v>
      </c>
      <c r="B10" s="6" t="inlineStr">
        <is>
          <t>Clean URL structure</t>
        </is>
      </c>
      <c r="C10" s="6" t="inlineStr">
        <is>
          <t>/features/reporting not /page?id=47&amp;cat=3</t>
        </is>
      </c>
      <c r="E10">
        <f>IF(D10="Not Relevant","",IF(D10="Good","",IF(D10="Bad",1.33,1)))</f>
        <v/>
      </c>
      <c r="G10">
        <f>IFERROR(SPARKLINE(F10,{"charttype","bar";"max",3;"min",1;"color1",IF(F10=3,"#4078DD",IF(F10=2,"#9CB7E9","#CED9EF"))}),"")</f>
        <v/>
      </c>
      <c r="I10">
        <f>IFERROR(SPARKLINE(H10,{"charttype","bar";"max",3;"min",1;"color1",IF(H10=3,"#4078DD",IF(H10=2,"#9CB7E9","#CED9EF"))}),"")</f>
        <v/>
      </c>
      <c r="J10">
        <f>IF(H10=1,3,IF(H10=2,2,1))</f>
        <v/>
      </c>
      <c r="K10">
        <f>ROUNDUP(((J10+F10)*E10),1)</f>
        <v/>
      </c>
      <c r="L10" t="n">
        <v>8</v>
      </c>
      <c r="M10">
        <f>IFERROR(IF(A10=FALSE,SPARKLINE(K10:L10,{"charttype","bar";"max",8;"min",0;"color1",IF(K10&gt;=5,"green",IF(K10&lt;=3,"orange","#C9C21D"));"color2","#eeeeee"}),"Done"),"")</f>
        <v/>
      </c>
    </row>
    <row r="11">
      <c r="A11" t="b">
        <v>0</v>
      </c>
      <c r="B11" s="6" t="inlineStr">
        <is>
          <t>Canonical tags configured on all pages</t>
        </is>
      </c>
      <c r="C11" s="6" t="inlineStr">
        <is>
          <t>link rel="canonical" href="..." on every page</t>
        </is>
      </c>
      <c r="E11">
        <f>IF(D11="Not Relevant","",IF(D11="Good","",IF(D11="Bad",1.33,1)))</f>
        <v/>
      </c>
      <c r="G11">
        <f>IFERROR(SPARKLINE(F11,{"charttype","bar";"max",3;"min",1;"color1",IF(F11=3,"#4078DD",IF(F11=2,"#9CB7E9","#CED9EF"))}),"")</f>
        <v/>
      </c>
      <c r="I11">
        <f>IFERROR(SPARKLINE(H11,{"charttype","bar";"max",3;"min",1;"color1",IF(H11=3,"#4078DD",IF(H11=2,"#9CB7E9","#CED9EF"))}),"")</f>
        <v/>
      </c>
      <c r="J11">
        <f>IF(H11=1,3,IF(H11=2,2,1))</f>
        <v/>
      </c>
      <c r="K11">
        <f>ROUNDUP(((J11+F11)*E11),1)</f>
        <v/>
      </c>
      <c r="L11" t="n">
        <v>8</v>
      </c>
      <c r="M11">
        <f>IFERROR(IF(A11=FALSE,SPARKLINE(K11:L11,{"charttype","bar";"max",8;"min",0;"color1",IF(K11&gt;=5,"green",IF(K11&lt;=3,"orange","#C9C21D"));"color2","#eeeeee"}),"Done"),"")</f>
        <v/>
      </c>
    </row>
    <row r="12">
      <c r="A12" t="b">
        <v>0</v>
      </c>
      <c r="B12" s="6" t="inlineStr">
        <is>
          <t>llms.txt file created at site root</t>
        </is>
      </c>
      <c r="C12" s="6" t="inlineStr">
        <is>
          <t>/llms.txt with brand summary, key facts, and structured data pointers</t>
        </is>
      </c>
      <c r="E12">
        <f>IF(D12="Not Relevant","",IF(D12="Good","",IF(D12="Bad",1.33,1)))</f>
        <v/>
      </c>
      <c r="G12">
        <f>IFERROR(SPARKLINE(F12,{"charttype","bar";"max",3;"min",1;"color1",IF(F12=3,"#4078DD",IF(F12=2,"#9CB7E9","#CED9EF"))}),"")</f>
        <v/>
      </c>
      <c r="I12">
        <f>IFERROR(SPARKLINE(H12,{"charttype","bar";"max",3;"min",1;"color1",IF(H12=3,"#4078DD",IF(H12=2,"#9CB7E9","#CED9EF"))}),"")</f>
        <v/>
      </c>
      <c r="J12">
        <f>IF(H12=1,3,IF(H12=2,2,1))</f>
        <v/>
      </c>
      <c r="K12">
        <f>ROUNDUP(((J12+F12)*E12),1)</f>
        <v/>
      </c>
      <c r="L12" t="n">
        <v>8</v>
      </c>
      <c r="M12">
        <f>IFERROR(IF(A12=FALSE,SPARKLINE(K12:L12,{"charttype","bar";"max",8;"min",0;"color1",IF(K12&gt;=5,"green",IF(K12&lt;=3,"orange","#C9C21D"));"color2","#eeeeee"}),"Done"),"")</f>
        <v/>
      </c>
    </row>
    <row r="13">
      <c r="A13" t="b">
        <v>0</v>
      </c>
      <c r="B13" s="6" t="inlineStr">
        <is>
          <t>No critical content hidden behind JS tabs or accordions</t>
        </is>
      </c>
      <c r="C13" s="6" t="inlineStr">
        <is>
          <t>Pricing and features visible in page source without JS execution</t>
        </is>
      </c>
      <c r="E13">
        <f>IF(D13="Not Relevant","",IF(D13="Good","",IF(D13="Bad",1.33,1)))</f>
        <v/>
      </c>
      <c r="G13">
        <f>IFERROR(SPARKLINE(F13,{"charttype","bar";"max",3;"min",1;"color1",IF(F13=3,"#4078DD",IF(F13=2,"#9CB7E9","#CED9EF"))}),"")</f>
        <v/>
      </c>
      <c r="I13">
        <f>IFERROR(SPARKLINE(H13,{"charttype","bar";"max",3;"min",1;"color1",IF(H13=3,"#4078DD",IF(H13=2,"#9CB7E9","#CED9EF"))}),"")</f>
        <v/>
      </c>
      <c r="J13">
        <f>IF(H13=1,3,IF(H13=2,2,1))</f>
        <v/>
      </c>
      <c r="K13">
        <f>ROUNDUP(((J13+F13)*E13),1)</f>
        <v/>
      </c>
      <c r="L13" t="n">
        <v>8</v>
      </c>
      <c r="M13">
        <f>IFERROR(IF(A13=FALSE,SPARKLINE(K13:L13,{"charttype","bar";"max",8;"min",0;"color1",IF(K13&gt;=5,"green",IF(K13&lt;=3,"orange","#C9C21D"));"color2","#eeeeee"}),"Done"),"")</f>
        <v/>
      </c>
    </row>
    <row r="14">
      <c r="A14" t="b">
        <v>0</v>
      </c>
      <c r="B14" s="6" t="inlineStr">
        <is>
          <t>Mobile rendering verified for AI crawlers</t>
        </is>
      </c>
      <c r="C14" s="6" t="inlineStr">
        <is>
          <t>Test with mobile user-agent; ensure same content as desktop</t>
        </is>
      </c>
      <c r="E14">
        <f>IF(D14="Not Relevant","",IF(D14="Good","",IF(D14="Bad",1.33,1)))</f>
        <v/>
      </c>
      <c r="G14">
        <f>IFERROR(SPARKLINE(F14,{"charttype","bar";"max",3;"min",1;"color1",IF(F14=3,"#4078DD",IF(F14=2,"#9CB7E9","#CED9EF"))}),"")</f>
        <v/>
      </c>
      <c r="I14">
        <f>IFERROR(SPARKLINE(H14,{"charttype","bar";"max",3;"min",1;"color1",IF(H14=3,"#4078DD",IF(H14=2,"#9CB7E9","#CED9EF"))}),"")</f>
        <v/>
      </c>
      <c r="J14">
        <f>IF(H14=1,3,IF(H14=2,2,1))</f>
        <v/>
      </c>
      <c r="K14">
        <f>ROUNDUP(((J14+F14)*E14),1)</f>
        <v/>
      </c>
      <c r="L14" t="n">
        <v>8</v>
      </c>
      <c r="M14">
        <f>IFERROR(IF(A14=FALSE,SPARKLINE(K14:L14,{"charttype","bar";"max",8;"min",0;"color1",IF(K14&gt;=5,"green",IF(K14&lt;=3,"orange","#C9C21D"));"color2","#eeeeee"}),"Done"),"")</f>
        <v/>
      </c>
    </row>
    <row r="15">
      <c r="A15" t="b">
        <v>0</v>
      </c>
      <c r="B15" s="6" t="inlineStr">
        <is>
          <t>AI crawler log monitoring configured</t>
        </is>
      </c>
      <c r="C15" s="6" t="inlineStr">
        <is>
          <t>Server logs filtered for GPTBot, OAI-SearchBot, ClaudeBot user agents</t>
        </is>
      </c>
      <c r="E15">
        <f>IF(D15="Not Relevant","",IF(D15="Good","",IF(D15="Bad",1.33,1)))</f>
        <v/>
      </c>
      <c r="G15">
        <f>IFERROR(SPARKLINE(F15,{"charttype","bar";"max",3;"min",1;"color1",IF(F15=3,"#4078DD",IF(F15=2,"#9CB7E9","#CED9EF"))}),"")</f>
        <v/>
      </c>
      <c r="I15">
        <f>IFERROR(SPARKLINE(H15,{"charttype","bar";"max",3;"min",1;"color1",IF(H15=3,"#4078DD",IF(H15=2,"#9CB7E9","#CED9EF"))}),"")</f>
        <v/>
      </c>
      <c r="J15">
        <f>IF(H15=1,3,IF(H15=2,2,1))</f>
        <v/>
      </c>
      <c r="K15">
        <f>ROUNDUP(((J15+F15)*E15),1)</f>
        <v/>
      </c>
      <c r="L15" t="n">
        <v>8</v>
      </c>
      <c r="M15">
        <f>IFERROR(IF(A15=FALSE,SPARKLINE(K15:L15,{"charttype","bar";"max",8;"min",0;"color1",IF(K15&gt;=5,"green",IF(K15&lt;=3,"orange","#C9C21D"));"color2","#eeeeee"}),"Done"),"")</f>
        <v/>
      </c>
    </row>
    <row r="16">
      <c r="A16" t="b">
        <v>0</v>
      </c>
      <c r="B16" s="6" t="inlineStr">
        <is>
          <t>Cache-busting parameters ready for content updates</t>
        </is>
      </c>
      <c r="C16" s="6" t="inlineStr">
        <is>
          <t>?v=2024-01 appended to URLs after major content changes</t>
        </is>
      </c>
      <c r="E16">
        <f>IF(D16="Not Relevant","",IF(D16="Good","",IF(D16="Bad",1.33,1)))</f>
        <v/>
      </c>
      <c r="G16">
        <f>IFERROR(SPARKLINE(F16,{"charttype","bar";"max",3;"min",1;"color1",IF(F16=3,"#4078DD",IF(F16=2,"#9CB7E9","#CED9EF"))}),"")</f>
        <v/>
      </c>
      <c r="I16">
        <f>IFERROR(SPARKLINE(H16,{"charttype","bar";"max",3;"min",1;"color1",IF(H16=3,"#4078DD",IF(H16=2,"#9CB7E9","#CED9EF"))}),"")</f>
        <v/>
      </c>
      <c r="J16">
        <f>IF(H16=1,3,IF(H16=2,2,1))</f>
        <v/>
      </c>
      <c r="K16">
        <f>ROUNDUP(((J16+F16)*E16),1)</f>
        <v/>
      </c>
      <c r="L16" t="n">
        <v>8</v>
      </c>
      <c r="M16">
        <f>IFERROR(IF(A16=FALSE,SPARKLINE(K16:L16,{"charttype","bar";"max",8;"min",0;"color1",IF(K16&gt;=5,"green",IF(K16&lt;=3,"orange","#C9C21D"));"color2","#eeeeee"}),"Done"),"")</f>
        <v/>
      </c>
    </row>
  </sheetData>
  <dataValidations count="1">
    <dataValidation sqref="D3:D16" showDropDown="0" showInputMessage="0" showErrorMessage="0" allowBlank="1" type="list">
      <formula1>"Good,Can be Improved,Bad,Not Relevant"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88" customWidth="1" min="1" max="1"/>
    <col width="79" customWidth="1" min="2" max="2"/>
    <col width="10.25" customWidth="1" min="3" max="3"/>
    <col width="17" customWidth="1" min="4" max="4"/>
    <col width="10.88" customWidth="1" min="5" max="5"/>
    <col width="6" customWidth="1" min="6" max="6"/>
    <col width="8" customWidth="1" min="7" max="7"/>
    <col width="6" customWidth="1" min="8" max="8"/>
    <col width="8" customWidth="1" min="9" max="9"/>
    <col width="10" customWidth="1" min="10" max="10"/>
    <col width="6" customWidth="1" min="11" max="11"/>
    <col width="5" customWidth="1" min="12" max="12"/>
    <col width="10" customWidth="1" min="13" max="13"/>
  </cols>
  <sheetData>
    <row r="1">
      <c r="A1" s="4" t="inlineStr"/>
      <c r="B1" s="4" t="inlineStr">
        <is>
          <t>Content Optimization - AEO Checkpoint</t>
        </is>
      </c>
      <c r="C1" s="4" t="inlineStr">
        <is>
          <t>Example</t>
        </is>
      </c>
      <c r="D1" s="4" t="inlineStr">
        <is>
          <t>Evaluation</t>
        </is>
      </c>
      <c r="E1" s="4" t="inlineStr">
        <is>
          <t>Factor</t>
        </is>
      </c>
      <c r="F1" s="4" t="inlineStr">
        <is>
          <t>Impact</t>
        </is>
      </c>
      <c r="G1" s="4" t="inlineStr">
        <is>
          <t>Impact</t>
        </is>
      </c>
      <c r="H1" s="4" t="inlineStr">
        <is>
          <t>Cost</t>
        </is>
      </c>
      <c r="I1" s="4" t="inlineStr">
        <is>
          <t>Cost</t>
        </is>
      </c>
      <c r="J1" s="4" t="inlineStr">
        <is>
          <t>Cost for Sum</t>
        </is>
      </c>
      <c r="K1" s="4" t="inlineStr">
        <is>
          <t>Sum</t>
        </is>
      </c>
      <c r="L1" s="4" t="inlineStr">
        <is>
          <t>Max</t>
        </is>
      </c>
      <c r="M1" s="4" t="inlineStr">
        <is>
          <t>Priority</t>
        </is>
      </c>
    </row>
    <row r="2">
      <c r="A2" s="5" t="n"/>
      <c r="B2" s="1" t="inlineStr">
        <is>
          <t>Content Optimization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b">
        <v>0</v>
      </c>
      <c r="B3" s="6" t="inlineStr">
        <is>
          <t>First 50 words state WHO / WHAT / WHERE / PRICE</t>
        </is>
      </c>
      <c r="C3" s="6" t="inlineStr">
        <is>
          <t>Acme is a B2B sales platform based in London. Plans start at $49/mo.</t>
        </is>
      </c>
      <c r="E3">
        <f>IF(D3="Not Relevant","",IF(D3="Good","",IF(D3="Bad",1.33,1)))</f>
        <v/>
      </c>
      <c r="G3">
        <f>IFERROR(SPARKLINE(F3,{"charttype","bar";"max",3;"min",1;"color1",IF(F3=3,"#4078DD",IF(F3=2,"#9CB7E9","#CED9EF"))}),"")</f>
        <v/>
      </c>
      <c r="I3">
        <f>IFERROR(SPARKLINE(H3,{"charttype","bar";"max",3;"min",1;"color1",IF(H3=3,"#4078DD",IF(H3=2,"#9CB7E9","#CED9EF"))}),"")</f>
        <v/>
      </c>
      <c r="J3">
        <f>IF(H3=1,3,IF(H3=2,2,1))</f>
        <v/>
      </c>
      <c r="K3">
        <f>ROUNDUP(((J3+F3)*E3),1)</f>
        <v/>
      </c>
      <c r="L3" t="n">
        <v>8</v>
      </c>
      <c r="M3">
        <f>IFERROR(IF(A3=FALSE,SPARKLINE(K3:L3,{"charttype","bar";"max",8;"min",0;"color1",IF(K3&gt;=5,"green",IF(K3&lt;=3,"orange","#C9C21D"));"color2","#eeeeee"}),"Done"),"")</f>
        <v/>
      </c>
    </row>
    <row r="4">
      <c r="A4" t="b">
        <v>0</v>
      </c>
      <c r="B4" s="6" t="inlineStr">
        <is>
          <t>No rhetorical questions as page openers</t>
        </is>
      </c>
      <c r="C4" s="6" t="inlineStr">
        <is>
          <t>Bad: "Ready to transform?" Good: "Acme automates invoice processing."</t>
        </is>
      </c>
      <c r="E4">
        <f>IF(D4="Not Relevant","",IF(D4="Good","",IF(D4="Bad",1.33,1)))</f>
        <v/>
      </c>
      <c r="G4">
        <f>IFERROR(SPARKLINE(F4,{"charttype","bar";"max",3;"min",1;"color1",IF(F4=3,"#4078DD",IF(F4=2,"#9CB7E9","#CED9EF"))}),"")</f>
        <v/>
      </c>
      <c r="I4">
        <f>IFERROR(SPARKLINE(H4,{"charttype","bar";"max",3;"min",1;"color1",IF(H4=3,"#4078DD",IF(H4=2,"#9CB7E9","#CED9EF"))}),"")</f>
        <v/>
      </c>
      <c r="J4">
        <f>IF(H4=1,3,IF(H4=2,2,1))</f>
        <v/>
      </c>
      <c r="K4">
        <f>ROUNDUP(((J4+F4)*E4),1)</f>
        <v/>
      </c>
      <c r="L4" t="n">
        <v>8</v>
      </c>
      <c r="M4">
        <f>IFERROR(IF(A4=FALSE,SPARKLINE(K4:L4,{"charttype","bar";"max",8;"min",0;"color1",IF(K4&gt;=5,"green",IF(K4&lt;=3,"orange","#C9C21D"));"color2","#eeeeee"}),"Done"),"")</f>
        <v/>
      </c>
    </row>
    <row r="5">
      <c r="A5" t="b">
        <v>0</v>
      </c>
      <c r="B5" s="6" t="inlineStr">
        <is>
          <t>No vague promises in opening copy</t>
        </is>
      </c>
      <c r="C5" s="6" t="inlineStr">
        <is>
          <t>Bad: "Unlock your potential" Good: "Reduce churn by 23%"</t>
        </is>
      </c>
      <c r="E5">
        <f>IF(D5="Not Relevant","",IF(D5="Good","",IF(D5="Bad",1.33,1)))</f>
        <v/>
      </c>
      <c r="G5">
        <f>IFERROR(SPARKLINE(F5,{"charttype","bar";"max",3;"min",1;"color1",IF(F5=3,"#4078DD",IF(F5=2,"#9CB7E9","#CED9EF"))}),"")</f>
        <v/>
      </c>
      <c r="I5">
        <f>IFERROR(SPARKLINE(H5,{"charttype","bar";"max",3;"min",1;"color1",IF(H5=3,"#4078DD",IF(H5=2,"#9CB7E9","#CED9EF"))}),"")</f>
        <v/>
      </c>
      <c r="J5">
        <f>IF(H5=1,3,IF(H5=2,2,1))</f>
        <v/>
      </c>
      <c r="K5">
        <f>ROUNDUP(((J5+F5)*E5),1)</f>
        <v/>
      </c>
      <c r="L5" t="n">
        <v>8</v>
      </c>
      <c r="M5">
        <f>IFERROR(IF(A5=FALSE,SPARKLINE(K5:L5,{"charttype","bar";"max",8;"min",0;"color1",IF(K5&gt;=5,"green",IF(K5&lt;=3,"orange","#C9C21D"));"color2","#eeeeee"}),"Done"),"")</f>
        <v/>
      </c>
    </row>
    <row r="6">
      <c r="A6" t="b">
        <v>0</v>
      </c>
      <c r="B6" s="6" t="inlineStr">
        <is>
          <t>TL;DR or Key Takeaways at top of long-form pages</t>
        </is>
      </c>
      <c r="C6" s="6" t="inlineStr">
        <is>
          <t>TL;DR: Acme processes 10M invoices/year for 2,400 businesses at $49-199/mo</t>
        </is>
      </c>
      <c r="E6">
        <f>IF(D6="Not Relevant","",IF(D6="Good","",IF(D6="Bad",1.33,1)))</f>
        <v/>
      </c>
      <c r="G6">
        <f>IFERROR(SPARKLINE(F6,{"charttype","bar";"max",3;"min",1;"color1",IF(F6=3,"#4078DD",IF(F6=2,"#9CB7E9","#CED9EF"))}),"")</f>
        <v/>
      </c>
      <c r="I6">
        <f>IFERROR(SPARKLINE(H6,{"charttype","bar";"max",3;"min",1;"color1",IF(H6=3,"#4078DD",IF(H6=2,"#9CB7E9","#CED9EF"))}),"")</f>
        <v/>
      </c>
      <c r="J6">
        <f>IF(H6=1,3,IF(H6=2,2,1))</f>
        <v/>
      </c>
      <c r="K6">
        <f>ROUNDUP(((J6+F6)*E6),1)</f>
        <v/>
      </c>
      <c r="L6" t="n">
        <v>8</v>
      </c>
      <c r="M6">
        <f>IFERROR(IF(A6=FALSE,SPARKLINE(K6:L6,{"charttype","bar";"max",8;"min",0;"color1",IF(K6&gt;=5,"green",IF(K6&lt;=3,"orange","#C9C21D"));"color2","#eeeeee"}),"Done"),"")</f>
        <v/>
      </c>
    </row>
    <row r="7">
      <c r="A7" t="b">
        <v>0</v>
      </c>
      <c r="B7" s="6" t="inlineStr">
        <is>
          <t>Pricing hard-coded in HTML text (not behind Contact Us)</t>
        </is>
      </c>
      <c r="C7" s="6" t="inlineStr">
        <is>
          <t>Plans: Starter $49/mo, Pro $99/mo, Enterprise $299/mo</t>
        </is>
      </c>
      <c r="E7">
        <f>IF(D7="Not Relevant","",IF(D7="Good","",IF(D7="Bad",1.33,1)))</f>
        <v/>
      </c>
      <c r="G7">
        <f>IFERROR(SPARKLINE(F7,{"charttype","bar";"max",3;"min",1;"color1",IF(F7=3,"#4078DD",IF(F7=2,"#9CB7E9","#CED9EF"))}),"")</f>
        <v/>
      </c>
      <c r="I7">
        <f>IFERROR(SPARKLINE(H7,{"charttype","bar";"max",3;"min",1;"color1",IF(H7=3,"#4078DD",IF(H7=2,"#9CB7E9","#CED9EF"))}),"")</f>
        <v/>
      </c>
      <c r="J7">
        <f>IF(H7=1,3,IF(H7=2,2,1))</f>
        <v/>
      </c>
      <c r="K7">
        <f>ROUNDUP(((J7+F7)*E7),1)</f>
        <v/>
      </c>
      <c r="L7" t="n">
        <v>8</v>
      </c>
      <c r="M7">
        <f>IFERROR(IF(A7=FALSE,SPARKLINE(K7:L7,{"charttype","bar";"max",8;"min",0;"color1",IF(K7&gt;=5,"green",IF(K7&lt;=3,"orange","#C9C21D"));"color2","#eeeeee"}),"Done"),"")</f>
        <v/>
      </c>
    </row>
    <row r="8">
      <c r="A8" t="b">
        <v>0</v>
      </c>
      <c r="B8" s="6" t="inlineStr">
        <is>
          <t>Specific numbers replace vague claims</t>
        </is>
      </c>
      <c r="C8" s="6" t="inlineStr">
        <is>
          <t>2,400+ businesses not "Trusted by thousands"</t>
        </is>
      </c>
      <c r="E8">
        <f>IF(D8="Not Relevant","",IF(D8="Good","",IF(D8="Bad",1.33,1)))</f>
        <v/>
      </c>
      <c r="G8">
        <f>IFERROR(SPARKLINE(F8,{"charttype","bar";"max",3;"min",1;"color1",IF(F8=3,"#4078DD",IF(F8=2,"#9CB7E9","#CED9EF"))}),"")</f>
        <v/>
      </c>
      <c r="I8">
        <f>IFERROR(SPARKLINE(H8,{"charttype","bar";"max",3;"min",1;"color1",IF(H8=3,"#4078DD",IF(H8=2,"#9CB7E9","#CED9EF"))}),"")</f>
        <v/>
      </c>
      <c r="J8">
        <f>IF(H8=1,3,IF(H8=2,2,1))</f>
        <v/>
      </c>
      <c r="K8">
        <f>ROUNDUP(((J8+F8)*E8),1)</f>
        <v/>
      </c>
      <c r="L8" t="n">
        <v>8</v>
      </c>
      <c r="M8">
        <f>IFERROR(IF(A8=FALSE,SPARKLINE(K8:L8,{"charttype","bar";"max",8;"min",0;"color1",IF(K8&gt;=5,"green",IF(K8&lt;=3,"orange","#C9C21D"));"color2","#eeeeee"}),"Done"),"")</f>
        <v/>
      </c>
    </row>
    <row r="9">
      <c r="A9" t="b">
        <v>0</v>
      </c>
      <c r="B9" s="6" t="inlineStr">
        <is>
          <t>HTML tables for structured data (not images or PDFs)</t>
        </is>
      </c>
      <c r="C9" s="6" t="inlineStr">
        <is>
          <t>&lt;table&gt; for pricing, feature comparisons, specs</t>
        </is>
      </c>
      <c r="E9">
        <f>IF(D9="Not Relevant","",IF(D9="Good","",IF(D9="Bad",1.33,1)))</f>
        <v/>
      </c>
      <c r="G9">
        <f>IFERROR(SPARKLINE(F9,{"charttype","bar";"max",3;"min",1;"color1",IF(F9=3,"#4078DD",IF(F9=2,"#9CB7E9","#CED9EF"))}),"")</f>
        <v/>
      </c>
      <c r="I9">
        <f>IFERROR(SPARKLINE(H9,{"charttype","bar";"max",3;"min",1;"color1",IF(H9=3,"#4078DD",IF(H9=2,"#9CB7E9","#CED9EF"))}),"")</f>
        <v/>
      </c>
      <c r="J9">
        <f>IF(H9=1,3,IF(H9=2,2,1))</f>
        <v/>
      </c>
      <c r="K9">
        <f>ROUNDUP(((J9+F9)*E9),1)</f>
        <v/>
      </c>
      <c r="L9" t="n">
        <v>8</v>
      </c>
      <c r="M9">
        <f>IFERROR(IF(A9=FALSE,SPARKLINE(K9:L9,{"charttype","bar";"max",8;"min",0;"color1",IF(K9&gt;=5,"green",IF(K9&lt;=3,"orange","#C9C21D"));"color2","#eeeeee"}),"Done"),"")</f>
        <v/>
      </c>
    </row>
    <row r="10">
      <c r="A10" t="b">
        <v>0</v>
      </c>
      <c r="B10" s="6" t="inlineStr">
        <is>
          <t>FAQ section on every key page in Q&amp;A format</t>
        </is>
      </c>
      <c r="C10" s="6" t="inlineStr">
        <is>
          <t>How much does Acme cost? Plans start at $49/mo...</t>
        </is>
      </c>
      <c r="E10">
        <f>IF(D10="Not Relevant","",IF(D10="Good","",IF(D10="Bad",1.33,1)))</f>
        <v/>
      </c>
      <c r="G10">
        <f>IFERROR(SPARKLINE(F10,{"charttype","bar";"max",3;"min",1;"color1",IF(F10=3,"#4078DD",IF(F10=2,"#9CB7E9","#CED9EF"))}),"")</f>
        <v/>
      </c>
      <c r="I10">
        <f>IFERROR(SPARKLINE(H10,{"charttype","bar";"max",3;"min",1;"color1",IF(H10=3,"#4078DD",IF(H10=2,"#9CB7E9","#CED9EF"))}),"")</f>
        <v/>
      </c>
      <c r="J10">
        <f>IF(H10=1,3,IF(H10=2,2,1))</f>
        <v/>
      </c>
      <c r="K10">
        <f>ROUNDUP(((J10+F10)*E10),1)</f>
        <v/>
      </c>
      <c r="L10" t="n">
        <v>8</v>
      </c>
      <c r="M10">
        <f>IFERROR(IF(A10=FALSE,SPARKLINE(K10:L10,{"charttype","bar";"max",8;"min",0;"color1",IF(K10&gt;=5,"green",IF(K10&lt;=3,"orange","#C9C21D"));"color2","#eeeeee"}),"Done"),"")</f>
        <v/>
      </c>
    </row>
    <row r="11">
      <c r="A11" t="b">
        <v>0</v>
      </c>
      <c r="B11" s="6" t="inlineStr">
        <is>
          <t>Hybrid page structure: LLM-optimized first 150 words then sales copy</t>
        </is>
      </c>
      <c r="C11" s="6" t="inlineStr">
        <is>
          <t>Factual summary paragraph followed by benefit-driven marketing copy</t>
        </is>
      </c>
      <c r="E11">
        <f>IF(D11="Not Relevant","",IF(D11="Good","",IF(D11="Bad",1.33,1)))</f>
        <v/>
      </c>
      <c r="G11">
        <f>IFERROR(SPARKLINE(F11,{"charttype","bar";"max",3;"min",1;"color1",IF(F11=3,"#4078DD",IF(F11=2,"#9CB7E9","#CED9EF"))}),"")</f>
        <v/>
      </c>
      <c r="I11">
        <f>IFERROR(SPARKLINE(H11,{"charttype","bar";"max",3;"min",1;"color1",IF(H11=3,"#4078DD",IF(H11=2,"#9CB7E9","#CED9EF"))}),"")</f>
        <v/>
      </c>
      <c r="J11">
        <f>IF(H11=1,3,IF(H11=2,2,1))</f>
        <v/>
      </c>
      <c r="K11">
        <f>ROUNDUP(((J11+F11)*E11),1)</f>
        <v/>
      </c>
      <c r="L11" t="n">
        <v>8</v>
      </c>
      <c r="M11">
        <f>IFERROR(IF(A11=FALSE,SPARKLINE(K11:L11,{"charttype","bar";"max",8;"min",0;"color1",IF(K11&gt;=5,"green",IF(K11&lt;=3,"orange","#C9C21D"));"color2","#eeeeee"}),"Done"),"")</f>
        <v/>
      </c>
    </row>
    <row r="12">
      <c r="A12" t="b">
        <v>0</v>
      </c>
      <c r="B12" s="6" t="inlineStr">
        <is>
          <t>H2/H3 hierarchy covers features, pricing, use cases</t>
        </is>
      </c>
      <c r="C12" s="6" t="inlineStr">
        <is>
          <t>Clear heading structure that LLMs can parse as distinct sections</t>
        </is>
      </c>
      <c r="E12">
        <f>IF(D12="Not Relevant","",IF(D12="Good","",IF(D12="Bad",1.33,1)))</f>
        <v/>
      </c>
      <c r="G12">
        <f>IFERROR(SPARKLINE(F12,{"charttype","bar";"max",3;"min",1;"color1",IF(F12=3,"#4078DD",IF(F12=2,"#9CB7E9","#CED9EF"))}),"")</f>
        <v/>
      </c>
      <c r="I12">
        <f>IFERROR(SPARKLINE(H12,{"charttype","bar";"max",3;"min",1;"color1",IF(H12=3,"#4078DD",IF(H12=2,"#9CB7E9","#CED9EF"))}),"")</f>
        <v/>
      </c>
      <c r="J12">
        <f>IF(H12=1,3,IF(H12=2,2,1))</f>
        <v/>
      </c>
      <c r="K12">
        <f>ROUNDUP(((J12+F12)*E12),1)</f>
        <v/>
      </c>
      <c r="L12" t="n">
        <v>8</v>
      </c>
      <c r="M12">
        <f>IFERROR(IF(A12=FALSE,SPARKLINE(K12:L12,{"charttype","bar";"max",8;"min",0;"color1",IF(K12&gt;=5,"green",IF(K12&lt;=3,"orange","#C9C21D"));"color2","#eeeeee"}),"Done"),"")</f>
        <v/>
      </c>
    </row>
    <row r="13">
      <c r="A13" t="b">
        <v>0</v>
      </c>
      <c r="B13" s="6" t="inlineStr">
        <is>
          <t>Alt text on images includes full data context</t>
        </is>
      </c>
      <c r="C13" s="6" t="inlineStr">
        <is>
          <t>alt="Bar chart: Acme reduced processing time from 4.2h to 0.8h"</t>
        </is>
      </c>
      <c r="E13">
        <f>IF(D13="Not Relevant","",IF(D13="Good","",IF(D13="Bad",1.33,1)))</f>
        <v/>
      </c>
      <c r="G13">
        <f>IFERROR(SPARKLINE(F13,{"charttype","bar";"max",3;"min",1;"color1",IF(F13=3,"#4078DD",IF(F13=2,"#9CB7E9","#CED9EF"))}),"")</f>
        <v/>
      </c>
      <c r="I13">
        <f>IFERROR(SPARKLINE(H13,{"charttype","bar";"max",3;"min",1;"color1",IF(H13=3,"#4078DD",IF(H13=2,"#9CB7E9","#CED9EF"))}),"")</f>
        <v/>
      </c>
      <c r="J13">
        <f>IF(H13=1,3,IF(H13=2,2,1))</f>
        <v/>
      </c>
      <c r="K13">
        <f>ROUNDUP(((J13+F13)*E13),1)</f>
        <v/>
      </c>
      <c r="L13" t="n">
        <v>8</v>
      </c>
      <c r="M13">
        <f>IFERROR(IF(A13=FALSE,SPARKLINE(K13:L13,{"charttype","bar";"max",8;"min",0;"color1",IF(K13&gt;=5,"green",IF(K13&lt;=3,"orange","#C9C21D"));"color2","#eeeeee"}),"Done"),"")</f>
        <v/>
      </c>
    </row>
    <row r="14">
      <c r="A14" t="b">
        <v>0</v>
      </c>
      <c r="B14" s="6" t="inlineStr">
        <is>
          <t>Comparison content vs top 3 competitors</t>
        </is>
      </c>
      <c r="C14" s="6" t="inlineStr">
        <is>
          <t>/vs/competitor-name pages with feature-by-feature HTML tables</t>
        </is>
      </c>
      <c r="E14">
        <f>IF(D14="Not Relevant","",IF(D14="Good","",IF(D14="Bad",1.33,1)))</f>
        <v/>
      </c>
      <c r="G14">
        <f>IFERROR(SPARKLINE(F14,{"charttype","bar";"max",3;"min",1;"color1",IF(F14=3,"#4078DD",IF(F14=2,"#9CB7E9","#CED9EF"))}),"")</f>
        <v/>
      </c>
      <c r="I14">
        <f>IFERROR(SPARKLINE(H14,{"charttype","bar";"max",3;"min",1;"color1",IF(H14=3,"#4078DD",IF(H14=2,"#9CB7E9","#CED9EF"))}),"")</f>
        <v/>
      </c>
      <c r="J14">
        <f>IF(H14=1,3,IF(H14=2,2,1))</f>
        <v/>
      </c>
      <c r="K14">
        <f>ROUNDUP(((J14+F14)*E14),1)</f>
        <v/>
      </c>
      <c r="L14" t="n">
        <v>8</v>
      </c>
      <c r="M14">
        <f>IFERROR(IF(A14=FALSE,SPARKLINE(K14:L14,{"charttype","bar";"max",8;"min",0;"color1",IF(K14&gt;=5,"green",IF(K14&lt;=3,"orange","#C9C21D"));"color2","#eeeeee"}),"Done"),"")</f>
        <v/>
      </c>
    </row>
    <row r="15">
      <c r="A15" t="b">
        <v>0</v>
      </c>
      <c r="B15" s="6" t="inlineStr">
        <is>
          <t>Best X and category pages created</t>
        </is>
      </c>
      <c r="C15" s="6" t="inlineStr">
        <is>
          <t>/best-crm-for-startups with honest multi-brand comparison</t>
        </is>
      </c>
      <c r="E15">
        <f>IF(D15="Not Relevant","",IF(D15="Good","",IF(D15="Bad",1.33,1)))</f>
        <v/>
      </c>
      <c r="G15">
        <f>IFERROR(SPARKLINE(F15,{"charttype","bar";"max",3;"min",1;"color1",IF(F15=3,"#4078DD",IF(F15=2,"#9CB7E9","#CED9EF"))}),"")</f>
        <v/>
      </c>
      <c r="I15">
        <f>IFERROR(SPARKLINE(H15,{"charttype","bar";"max",3;"min",1;"color1",IF(H15=3,"#4078DD",IF(H15=2,"#9CB7E9","#CED9EF"))}),"")</f>
        <v/>
      </c>
      <c r="J15">
        <f>IF(H15=1,3,IF(H15=2,2,1))</f>
        <v/>
      </c>
      <c r="K15">
        <f>ROUNDUP(((J15+F15)*E15),1)</f>
        <v/>
      </c>
      <c r="L15" t="n">
        <v>8</v>
      </c>
      <c r="M15">
        <f>IFERROR(IF(A15=FALSE,SPARKLINE(K15:L15,{"charttype","bar";"max",8;"min",0;"color1",IF(K15&gt;=5,"green",IF(K15&lt;=3,"orange","#C9C21D"));"color2","#eeeeee"}),"Done"),"")</f>
        <v/>
      </c>
    </row>
    <row r="16">
      <c r="A16" t="b">
        <v>0</v>
      </c>
      <c r="B16" s="6" t="inlineStr">
        <is>
          <t>Zero-volume keyword content created</t>
        </is>
      </c>
      <c r="C16" s="6" t="inlineStr">
        <is>
          <t>Pages targeting queries from forums and support tickets</t>
        </is>
      </c>
      <c r="E16">
        <f>IF(D16="Not Relevant","",IF(D16="Good","",IF(D16="Bad",1.33,1)))</f>
        <v/>
      </c>
      <c r="G16">
        <f>IFERROR(SPARKLINE(F16,{"charttype","bar";"max",3;"min",1;"color1",IF(F16=3,"#4078DD",IF(F16=2,"#9CB7E9","#CED9EF"))}),"")</f>
        <v/>
      </c>
      <c r="I16">
        <f>IFERROR(SPARKLINE(H16,{"charttype","bar";"max",3;"min",1;"color1",IF(H16=3,"#4078DD",IF(H16=2,"#9CB7E9","#CED9EF"))}),"")</f>
        <v/>
      </c>
      <c r="J16">
        <f>IF(H16=1,3,IF(H16=2,2,1))</f>
        <v/>
      </c>
      <c r="K16">
        <f>ROUNDUP(((J16+F16)*E16),1)</f>
        <v/>
      </c>
      <c r="L16" t="n">
        <v>8</v>
      </c>
      <c r="M16">
        <f>IFERROR(IF(A16=FALSE,SPARKLINE(K16:L16,{"charttype","bar";"max",8;"min",0;"color1",IF(K16&gt;=5,"green",IF(K16&lt;=3,"orange","#C9C21D"));"color2","#eeeeee"}),"Done"),"")</f>
        <v/>
      </c>
    </row>
    <row r="17">
      <c r="A17" t="b">
        <v>0</v>
      </c>
      <c r="B17" s="6" t="inlineStr">
        <is>
          <t>Content updated quarterly for freshness signals</t>
        </is>
      </c>
      <c r="C17" s="6" t="inlineStr">
        <is>
          <t>Last-modified dates within 90 days on key pages</t>
        </is>
      </c>
      <c r="E17">
        <f>IF(D17="Not Relevant","",IF(D17="Good","",IF(D17="Bad",1.33,1)))</f>
        <v/>
      </c>
      <c r="G17">
        <f>IFERROR(SPARKLINE(F17,{"charttype","bar";"max",3;"min",1;"color1",IF(F17=3,"#4078DD",IF(F17=2,"#9CB7E9","#CED9EF"))}),"")</f>
        <v/>
      </c>
      <c r="I17">
        <f>IFERROR(SPARKLINE(H17,{"charttype","bar";"max",3;"min",1;"color1",IF(H17=3,"#4078DD",IF(H17=2,"#9CB7E9","#CED9EF"))}),"")</f>
        <v/>
      </c>
      <c r="J17">
        <f>IF(H17=1,3,IF(H17=2,2,1))</f>
        <v/>
      </c>
      <c r="K17">
        <f>ROUNDUP(((J17+F17)*E17),1)</f>
        <v/>
      </c>
      <c r="L17" t="n">
        <v>8</v>
      </c>
      <c r="M17">
        <f>IFERROR(IF(A17=FALSE,SPARKLINE(K17:L17,{"charttype","bar";"max",8;"min",0;"color1",IF(K17&gt;=5,"green",IF(K17&lt;=3,"orange","#C9C21D"));"color2","#eeeeee"}),"Done"),"")</f>
        <v/>
      </c>
    </row>
    <row r="18">
      <c r="A18" t="b">
        <v>0</v>
      </c>
      <c r="B18" s="6" t="inlineStr">
        <is>
          <t>Conversion phrases replaced with specifics</t>
        </is>
      </c>
      <c r="C18" s="6" t="inlineStr">
        <is>
          <t>Replace "Get started" with "Start 14-day free trial"</t>
        </is>
      </c>
      <c r="E18">
        <f>IF(D18="Not Relevant","",IF(D18="Good","",IF(D18="Bad",1.33,1)))</f>
        <v/>
      </c>
      <c r="G18">
        <f>IFERROR(SPARKLINE(F18,{"charttype","bar";"max",3;"min",1;"color1",IF(F18=3,"#4078DD",IF(F18=2,"#9CB7E9","#CED9EF"))}),"")</f>
        <v/>
      </c>
      <c r="I18">
        <f>IFERROR(SPARKLINE(H18,{"charttype","bar";"max",3;"min",1;"color1",IF(H18=3,"#4078DD",IF(H18=2,"#9CB7E9","#CED9EF"))}),"")</f>
        <v/>
      </c>
      <c r="J18">
        <f>IF(H18=1,3,IF(H18=2,2,1))</f>
        <v/>
      </c>
      <c r="K18">
        <f>ROUNDUP(((J18+F18)*E18),1)</f>
        <v/>
      </c>
      <c r="L18" t="n">
        <v>8</v>
      </c>
      <c r="M18">
        <f>IFERROR(IF(A18=FALSE,SPARKLINE(K18:L18,{"charttype","bar";"max",8;"min",0;"color1",IF(K18&gt;=5,"green",IF(K18&lt;=3,"orange","#C9C21D"));"color2","#eeeeee"}),"Done"),"")</f>
        <v/>
      </c>
    </row>
    <row r="19">
      <c r="A19" t="b">
        <v>0</v>
      </c>
      <c r="B19" s="6" t="inlineStr">
        <is>
          <t>Direct customer quotes included on key pages</t>
        </is>
      </c>
      <c r="C19" s="6" t="inlineStr">
        <is>
          <t>"Acme saved us 12 hours/week" - Jane Smith, VP Ops at TechCo</t>
        </is>
      </c>
      <c r="E19">
        <f>IF(D19="Not Relevant","",IF(D19="Good","",IF(D19="Bad",1.33,1)))</f>
        <v/>
      </c>
      <c r="G19">
        <f>IFERROR(SPARKLINE(F19,{"charttype","bar";"max",3;"min",1;"color1",IF(F19=3,"#4078DD",IF(F19=2,"#9CB7E9","#CED9EF"))}),"")</f>
        <v/>
      </c>
      <c r="I19">
        <f>IFERROR(SPARKLINE(H19,{"charttype","bar";"max",3;"min",1;"color1",IF(H19=3,"#4078DD",IF(H19=2,"#9CB7E9","#CED9EF"))}),"")</f>
        <v/>
      </c>
      <c r="J19">
        <f>IF(H19=1,3,IF(H19=2,2,1))</f>
        <v/>
      </c>
      <c r="K19">
        <f>ROUNDUP(((J19+F19)*E19),1)</f>
        <v/>
      </c>
      <c r="L19" t="n">
        <v>8</v>
      </c>
      <c r="M19">
        <f>IFERROR(IF(A19=FALSE,SPARKLINE(K19:L19,{"charttype","bar";"max",8;"min",0;"color1",IF(K19&gt;=5,"green",IF(K19&lt;=3,"orange","#C9C21D"));"color2","#eeeeee"}),"Done"),"")</f>
        <v/>
      </c>
    </row>
    <row r="20">
      <c r="A20" t="b">
        <v>0</v>
      </c>
      <c r="B20" s="6" t="inlineStr">
        <is>
          <t>Statistics cited with verifiable sources</t>
        </is>
      </c>
      <c r="C20" s="6" t="inlineStr">
        <is>
          <t>According to Forrester (2024), companies using Acme see 3.2x ROI</t>
        </is>
      </c>
      <c r="E20">
        <f>IF(D20="Not Relevant","",IF(D20="Good","",IF(D20="Bad",1.33,1)))</f>
        <v/>
      </c>
      <c r="G20">
        <f>IFERROR(SPARKLINE(F20,{"charttype","bar";"max",3;"min",1;"color1",IF(F20=3,"#4078DD",IF(F20=2,"#9CB7E9","#CED9EF"))}),"")</f>
        <v/>
      </c>
      <c r="I20">
        <f>IFERROR(SPARKLINE(H20,{"charttype","bar";"max",3;"min",1;"color1",IF(H20=3,"#4078DD",IF(H20=2,"#9CB7E9","#CED9EF"))}),"")</f>
        <v/>
      </c>
      <c r="J20">
        <f>IF(H20=1,3,IF(H20=2,2,1))</f>
        <v/>
      </c>
      <c r="K20">
        <f>ROUNDUP(((J20+F20)*E20),1)</f>
        <v/>
      </c>
      <c r="L20" t="n">
        <v>8</v>
      </c>
      <c r="M20">
        <f>IFERROR(IF(A20=FALSE,SPARKLINE(K20:L20,{"charttype","bar";"max",8;"min",0;"color1",IF(K20&gt;=5,"green",IF(K20&lt;=3,"orange","#C9C21D"));"color2","#eeeeee"}),"Done"),"")</f>
        <v/>
      </c>
    </row>
  </sheetData>
  <dataValidations count="1">
    <dataValidation sqref="D3:D20" showDropDown="0" showInputMessage="0" showErrorMessage="0" allowBlank="1" type="list">
      <formula1>"Good,Can be Improved,Bad,Not Relevant"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88" customWidth="1" min="1" max="1"/>
    <col width="79" customWidth="1" min="2" max="2"/>
    <col width="10.25" customWidth="1" min="3" max="3"/>
    <col width="17" customWidth="1" min="4" max="4"/>
    <col width="10.88" customWidth="1" min="5" max="5"/>
    <col width="6" customWidth="1" min="6" max="6"/>
    <col width="8" customWidth="1" min="7" max="7"/>
    <col width="6" customWidth="1" min="8" max="8"/>
    <col width="8" customWidth="1" min="9" max="9"/>
    <col width="10" customWidth="1" min="10" max="10"/>
    <col width="6" customWidth="1" min="11" max="11"/>
    <col width="5" customWidth="1" min="12" max="12"/>
    <col width="10" customWidth="1" min="13" max="13"/>
  </cols>
  <sheetData>
    <row r="1">
      <c r="A1" s="4" t="inlineStr"/>
      <c r="B1" s="4" t="inlineStr">
        <is>
          <t>Trust and Authority - AEO Checkpoint</t>
        </is>
      </c>
      <c r="C1" s="4" t="inlineStr">
        <is>
          <t>Example</t>
        </is>
      </c>
      <c r="D1" s="4" t="inlineStr">
        <is>
          <t>Evaluation</t>
        </is>
      </c>
      <c r="E1" s="4" t="inlineStr">
        <is>
          <t>Factor</t>
        </is>
      </c>
      <c r="F1" s="4" t="inlineStr">
        <is>
          <t>Impact</t>
        </is>
      </c>
      <c r="G1" s="4" t="inlineStr">
        <is>
          <t>Impact</t>
        </is>
      </c>
      <c r="H1" s="4" t="inlineStr">
        <is>
          <t>Cost</t>
        </is>
      </c>
      <c r="I1" s="4" t="inlineStr">
        <is>
          <t>Cost</t>
        </is>
      </c>
      <c r="J1" s="4" t="inlineStr">
        <is>
          <t>Cost for Sum</t>
        </is>
      </c>
      <c r="K1" s="4" t="inlineStr">
        <is>
          <t>Sum</t>
        </is>
      </c>
      <c r="L1" s="4" t="inlineStr">
        <is>
          <t>Max</t>
        </is>
      </c>
      <c r="M1" s="4" t="inlineStr">
        <is>
          <t>Priority</t>
        </is>
      </c>
    </row>
    <row r="2">
      <c r="A2" s="5" t="n"/>
      <c r="B2" s="1" t="inlineStr">
        <is>
          <t>Trust and Authority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b">
        <v>0</v>
      </c>
      <c r="B3" s="6" t="inlineStr">
        <is>
          <t>Google Business Profile claimed and fully completed</t>
        </is>
      </c>
      <c r="C3" s="6" t="inlineStr">
        <is>
          <t>All fields filled including category, description, hours, photos</t>
        </is>
      </c>
      <c r="E3">
        <f>IF(D3="Not Relevant","",IF(D3="Good","",IF(D3="Bad",1.33,1)))</f>
        <v/>
      </c>
      <c r="G3">
        <f>IFERROR(SPARKLINE(F3,{"charttype","bar";"max",3;"min",1;"color1",IF(F3=3,"#4078DD",IF(F3=2,"#9CB7E9","#CED9EF"))}),"")</f>
        <v/>
      </c>
      <c r="I3">
        <f>IFERROR(SPARKLINE(H3,{"charttype","bar";"max",3;"min",1;"color1",IF(H3=3,"#4078DD",IF(H3=2,"#9CB7E9","#CED9EF"))}),"")</f>
        <v/>
      </c>
      <c r="J3">
        <f>IF(H3=1,3,IF(H3=2,2,1))</f>
        <v/>
      </c>
      <c r="K3">
        <f>ROUNDUP(((J3+F3)*E3),1)</f>
        <v/>
      </c>
      <c r="L3" t="n">
        <v>8</v>
      </c>
      <c r="M3">
        <f>IFERROR(IF(A3=FALSE,SPARKLINE(K3:L3,{"charttype","bar";"max",8;"min",0;"color1",IF(K3&gt;=5,"green",IF(K3&lt;=3,"orange","#C9C21D"));"color2","#eeeeee"}),"Done"),"")</f>
        <v/>
      </c>
    </row>
    <row r="4">
      <c r="A4" t="b">
        <v>0</v>
      </c>
      <c r="B4" s="6" t="inlineStr">
        <is>
          <t>Crunchbase profile created with accurate data</t>
        </is>
      </c>
      <c r="C4" s="6" t="inlineStr">
        <is>
          <t>Company description matches website positioning exactly</t>
        </is>
      </c>
      <c r="E4">
        <f>IF(D4="Not Relevant","",IF(D4="Good","",IF(D4="Bad",1.33,1)))</f>
        <v/>
      </c>
      <c r="G4">
        <f>IFERROR(SPARKLINE(F4,{"charttype","bar";"max",3;"min",1;"color1",IF(F4=3,"#4078DD",IF(F4=2,"#9CB7E9","#CED9EF"))}),"")</f>
        <v/>
      </c>
      <c r="I4">
        <f>IFERROR(SPARKLINE(H4,{"charttype","bar";"max",3;"min",1;"color1",IF(H4=3,"#4078DD",IF(H4=2,"#9CB7E9","#CED9EF"))}),"")</f>
        <v/>
      </c>
      <c r="J4">
        <f>IF(H4=1,3,IF(H4=2,2,1))</f>
        <v/>
      </c>
      <c r="K4">
        <f>ROUNDUP(((J4+F4)*E4),1)</f>
        <v/>
      </c>
      <c r="L4" t="n">
        <v>8</v>
      </c>
      <c r="M4">
        <f>IFERROR(IF(A4=FALSE,SPARKLINE(K4:L4,{"charttype","bar";"max",8;"min",0;"color1",IF(K4&gt;=5,"green",IF(K4&lt;=3,"orange","#C9C21D"));"color2","#eeeeee"}),"Done"),"")</f>
        <v/>
      </c>
    </row>
    <row r="5">
      <c r="A5" t="b">
        <v>0</v>
      </c>
      <c r="B5" s="6" t="inlineStr">
        <is>
          <t>LinkedIn company page created with aligned phrasing</t>
        </is>
      </c>
      <c r="C5" s="6" t="inlineStr">
        <is>
          <t>About section uses same category language as website first 50 words</t>
        </is>
      </c>
      <c r="E5">
        <f>IF(D5="Not Relevant","",IF(D5="Good","",IF(D5="Bad",1.33,1)))</f>
        <v/>
      </c>
      <c r="G5">
        <f>IFERROR(SPARKLINE(F5,{"charttype","bar";"max",3;"min",1;"color1",IF(F5=3,"#4078DD",IF(F5=2,"#9CB7E9","#CED9EF"))}),"")</f>
        <v/>
      </c>
      <c r="I5">
        <f>IFERROR(SPARKLINE(H5,{"charttype","bar";"max",3;"min",1;"color1",IF(H5=3,"#4078DD",IF(H5=2,"#9CB7E9","#CED9EF"))}),"")</f>
        <v/>
      </c>
      <c r="J5">
        <f>IF(H5=1,3,IF(H5=2,2,1))</f>
        <v/>
      </c>
      <c r="K5">
        <f>ROUNDUP(((J5+F5)*E5),1)</f>
        <v/>
      </c>
      <c r="L5" t="n">
        <v>8</v>
      </c>
      <c r="M5">
        <f>IFERROR(IF(A5=FALSE,SPARKLINE(K5:L5,{"charttype","bar";"max",8;"min",0;"color1",IF(K5&gt;=5,"green",IF(K5&lt;=3,"orange","#C9C21D"));"color2","#eeeeee"}),"Done"),"")</f>
        <v/>
      </c>
    </row>
    <row r="6">
      <c r="A6" t="b">
        <v>0</v>
      </c>
      <c r="B6" s="6" t="inlineStr">
        <is>
          <t>G2 profile created and optimized (B2B)</t>
        </is>
      </c>
      <c r="C6" s="6" t="inlineStr">
        <is>
          <t>Category listing matches target discovery queries</t>
        </is>
      </c>
      <c r="E6">
        <f>IF(D6="Not Relevant","",IF(D6="Good","",IF(D6="Bad",1.33,1)))</f>
        <v/>
      </c>
      <c r="G6">
        <f>IFERROR(SPARKLINE(F6,{"charttype","bar";"max",3;"min",1;"color1",IF(F6=3,"#4078DD",IF(F6=2,"#9CB7E9","#CED9EF"))}),"")</f>
        <v/>
      </c>
      <c r="I6">
        <f>IFERROR(SPARKLINE(H6,{"charttype","bar";"max",3;"min",1;"color1",IF(H6=3,"#4078DD",IF(H6=2,"#9CB7E9","#CED9EF"))}),"")</f>
        <v/>
      </c>
      <c r="J6">
        <f>IF(H6=1,3,IF(H6=2,2,1))</f>
        <v/>
      </c>
      <c r="K6">
        <f>ROUNDUP(((J6+F6)*E6),1)</f>
        <v/>
      </c>
      <c r="L6" t="n">
        <v>8</v>
      </c>
      <c r="M6">
        <f>IFERROR(IF(A6=FALSE,SPARKLINE(K6:L6,{"charttype","bar";"max",8;"min",0;"color1",IF(K6&gt;=5,"green",IF(K6&lt;=3,"orange","#C9C21D"));"color2","#eeeeee"}),"Done"),"")</f>
        <v/>
      </c>
    </row>
    <row r="7">
      <c r="A7" t="b">
        <v>0</v>
      </c>
      <c r="B7" s="6" t="inlineStr">
        <is>
          <t>Capterra profile created with accurate info</t>
        </is>
      </c>
      <c r="C7" s="6" t="inlineStr">
        <is>
          <t>Description and category aligned with brand positioning</t>
        </is>
      </c>
      <c r="E7">
        <f>IF(D7="Not Relevant","",IF(D7="Good","",IF(D7="Bad",1.33,1)))</f>
        <v/>
      </c>
      <c r="G7">
        <f>IFERROR(SPARKLINE(F7,{"charttype","bar";"max",3;"min",1;"color1",IF(F7=3,"#4078DD",IF(F7=2,"#9CB7E9","#CED9EF"))}),"")</f>
        <v/>
      </c>
      <c r="I7">
        <f>IFERROR(SPARKLINE(H7,{"charttype","bar";"max",3;"min",1;"color1",IF(H7=3,"#4078DD",IF(H7=2,"#9CB7E9","#CED9EF"))}),"")</f>
        <v/>
      </c>
      <c r="J7">
        <f>IF(H7=1,3,IF(H7=2,2,1))</f>
        <v/>
      </c>
      <c r="K7">
        <f>ROUNDUP(((J7+F7)*E7),1)</f>
        <v/>
      </c>
      <c r="L7" t="n">
        <v>8</v>
      </c>
      <c r="M7">
        <f>IFERROR(IF(A7=FALSE,SPARKLINE(K7:L7,{"charttype","bar";"max",8;"min",0;"color1",IF(K7&gt;=5,"green",IF(K7&lt;=3,"orange","#C9C21D"));"color2","#eeeeee"}),"Done"),"")</f>
        <v/>
      </c>
    </row>
    <row r="8">
      <c r="A8" t="b">
        <v>0</v>
      </c>
      <c r="B8" s="6" t="inlineStr">
        <is>
          <t>Trustpilot profile claimed</t>
        </is>
      </c>
      <c r="C8" s="6" t="inlineStr">
        <is>
          <t>Active review collection from verified customers</t>
        </is>
      </c>
      <c r="E8">
        <f>IF(D8="Not Relevant","",IF(D8="Good","",IF(D8="Bad",1.33,1)))</f>
        <v/>
      </c>
      <c r="G8">
        <f>IFERROR(SPARKLINE(F8,{"charttype","bar";"max",3;"min",1;"color1",IF(F8=3,"#4078DD",IF(F8=2,"#9CB7E9","#CED9EF"))}),"")</f>
        <v/>
      </c>
      <c r="I8">
        <f>IFERROR(SPARKLINE(H8,{"charttype","bar";"max",3;"min",1;"color1",IF(H8=3,"#4078DD",IF(H8=2,"#9CB7E9","#CED9EF"))}),"")</f>
        <v/>
      </c>
      <c r="J8">
        <f>IF(H8=1,3,IF(H8=2,2,1))</f>
        <v/>
      </c>
      <c r="K8">
        <f>ROUNDUP(((J8+F8)*E8),1)</f>
        <v/>
      </c>
      <c r="L8" t="n">
        <v>8</v>
      </c>
      <c r="M8">
        <f>IFERROR(IF(A8=FALSE,SPARKLINE(K8:L8,{"charttype","bar";"max",8;"min",0;"color1",IF(K8&gt;=5,"green",IF(K8&lt;=3,"orange","#C9C21D"));"color2","#eeeeee"}),"Done"),"")</f>
        <v/>
      </c>
    </row>
    <row r="9">
      <c r="A9" t="b">
        <v>0</v>
      </c>
      <c r="B9" s="6" t="inlineStr">
        <is>
          <t>Product Hunt listing created</t>
        </is>
      </c>
      <c r="C9" s="6" t="inlineStr">
        <is>
          <t>Launch page with clear product description</t>
        </is>
      </c>
      <c r="E9">
        <f>IF(D9="Not Relevant","",IF(D9="Good","",IF(D9="Bad",1.33,1)))</f>
        <v/>
      </c>
      <c r="G9">
        <f>IFERROR(SPARKLINE(F9,{"charttype","bar";"max",3;"min",1;"color1",IF(F9=3,"#4078DD",IF(F9=2,"#9CB7E9","#CED9EF"))}),"")</f>
        <v/>
      </c>
      <c r="I9">
        <f>IFERROR(SPARKLINE(H9,{"charttype","bar";"max",3;"min",1;"color1",IF(H9=3,"#4078DD",IF(H9=2,"#9CB7E9","#CED9EF"))}),"")</f>
        <v/>
      </c>
      <c r="J9">
        <f>IF(H9=1,3,IF(H9=2,2,1))</f>
        <v/>
      </c>
      <c r="K9">
        <f>ROUNDUP(((J9+F9)*E9),1)</f>
        <v/>
      </c>
      <c r="L9" t="n">
        <v>8</v>
      </c>
      <c r="M9">
        <f>IFERROR(IF(A9=FALSE,SPARKLINE(K9:L9,{"charttype","bar";"max",8;"min",0;"color1",IF(K9&gt;=5,"green",IF(K9&lt;=3,"orange","#C9C21D"));"color2","#eeeeee"}),"Done"),"")</f>
        <v/>
      </c>
    </row>
    <row r="10">
      <c r="A10" t="b">
        <v>0</v>
      </c>
      <c r="B10" s="6" t="inlineStr">
        <is>
          <t>AlternativeTo listing created</t>
        </is>
      </c>
      <c r="C10" s="6" t="inlineStr">
        <is>
          <t>Listed as alternative to top competitors in category</t>
        </is>
      </c>
      <c r="E10">
        <f>IF(D10="Not Relevant","",IF(D10="Good","",IF(D10="Bad",1.33,1)))</f>
        <v/>
      </c>
      <c r="G10">
        <f>IFERROR(SPARKLINE(F10,{"charttype","bar";"max",3;"min",1;"color1",IF(F10=3,"#4078DD",IF(F10=2,"#9CB7E9","#CED9EF"))}),"")</f>
        <v/>
      </c>
      <c r="I10">
        <f>IFERROR(SPARKLINE(H10,{"charttype","bar";"max",3;"min",1;"color1",IF(H10=3,"#4078DD",IF(H10=2,"#9CB7E9","#CED9EF"))}),"")</f>
        <v/>
      </c>
      <c r="J10">
        <f>IF(H10=1,3,IF(H10=2,2,1))</f>
        <v/>
      </c>
      <c r="K10">
        <f>ROUNDUP(((J10+F10)*E10),1)</f>
        <v/>
      </c>
      <c r="L10" t="n">
        <v>8</v>
      </c>
      <c r="M10">
        <f>IFERROR(IF(A10=FALSE,SPARKLINE(K10:L10,{"charttype","bar";"max",8;"min",0;"color1",IF(K10&gt;=5,"green",IF(K10&lt;=3,"orange","#C9C21D"));"color2","#eeeeee"}),"Done"),"")</f>
        <v/>
      </c>
    </row>
    <row r="11">
      <c r="A11" t="b">
        <v>0</v>
      </c>
      <c r="B11" s="6" t="inlineStr">
        <is>
          <t>Wikipedia or Wikidata presence (if brand is notable)</t>
        </is>
      </c>
      <c r="C11" s="6" t="inlineStr">
        <is>
          <t>Wikidata entity with correct structured data</t>
        </is>
      </c>
      <c r="E11">
        <f>IF(D11="Not Relevant","",IF(D11="Good","",IF(D11="Bad",1.33,1)))</f>
        <v/>
      </c>
      <c r="G11">
        <f>IFERROR(SPARKLINE(F11,{"charttype","bar";"max",3;"min",1;"color1",IF(F11=3,"#4078DD",IF(F11=2,"#9CB7E9","#CED9EF"))}),"")</f>
        <v/>
      </c>
      <c r="I11">
        <f>IFERROR(SPARKLINE(H11,{"charttype","bar";"max",3;"min",1;"color1",IF(H11=3,"#4078DD",IF(H11=2,"#9CB7E9","#CED9EF"))}),"")</f>
        <v/>
      </c>
      <c r="J11">
        <f>IF(H11=1,3,IF(H11=2,2,1))</f>
        <v/>
      </c>
      <c r="K11">
        <f>ROUNDUP(((J11+F11)*E11),1)</f>
        <v/>
      </c>
      <c r="L11" t="n">
        <v>8</v>
      </c>
      <c r="M11">
        <f>IFERROR(IF(A11=FALSE,SPARKLINE(K11:L11,{"charttype","bar";"max",8;"min",0;"color1",IF(K11&gt;=5,"green",IF(K11&lt;=3,"orange","#C9C21D"));"color2","#eeeeee"}),"Done"),"")</f>
        <v/>
      </c>
    </row>
    <row r="12">
      <c r="A12" t="b">
        <v>0</v>
      </c>
      <c r="B12" s="6" t="inlineStr">
        <is>
          <t>Phrase alignment verified across all external platforms</t>
        </is>
      </c>
      <c r="C12" s="6" t="inlineStr">
        <is>
          <t>Exact same category language on website, G2, LinkedIn, Crunchbase, GBP</t>
        </is>
      </c>
      <c r="E12">
        <f>IF(D12="Not Relevant","",IF(D12="Good","",IF(D12="Bad",1.33,1)))</f>
        <v/>
      </c>
      <c r="G12">
        <f>IFERROR(SPARKLINE(F12,{"charttype","bar";"max",3;"min",1;"color1",IF(F12=3,"#4078DD",IF(F12=2,"#9CB7E9","#CED9EF"))}),"")</f>
        <v/>
      </c>
      <c r="I12">
        <f>IFERROR(SPARKLINE(H12,{"charttype","bar";"max",3;"min",1;"color1",IF(H12=3,"#4078DD",IF(H12=2,"#9CB7E9","#CED9EF"))}),"")</f>
        <v/>
      </c>
      <c r="J12">
        <f>IF(H12=1,3,IF(H12=2,2,1))</f>
        <v/>
      </c>
      <c r="K12">
        <f>ROUNDUP(((J12+F12)*E12),1)</f>
        <v/>
      </c>
      <c r="L12" t="n">
        <v>8</v>
      </c>
      <c r="M12">
        <f>IFERROR(IF(A12=FALSE,SPARKLINE(K12:L12,{"charttype","bar";"max",8;"min",0;"color1",IF(K12&gt;=5,"green",IF(K12&lt;=3,"orange","#C9C21D"));"color2","#eeeeee"}),"Done"),"")</f>
        <v/>
      </c>
    </row>
    <row r="13">
      <c r="A13" t="b">
        <v>0</v>
      </c>
      <c r="B13" s="6" t="inlineStr">
        <is>
          <t>3+ external sources repeat core brand claim (Consensus Campaign)</t>
        </is>
      </c>
      <c r="C13" s="6" t="inlineStr">
        <is>
          <t>G2, Crunchbase, and industry blog all say "Acme is a B2B sales platform"</t>
        </is>
      </c>
      <c r="E13">
        <f>IF(D13="Not Relevant","",IF(D13="Good","",IF(D13="Bad",1.33,1)))</f>
        <v/>
      </c>
      <c r="G13">
        <f>IFERROR(SPARKLINE(F13,{"charttype","bar";"max",3;"min",1;"color1",IF(F13=3,"#4078DD",IF(F13=2,"#9CB7E9","#CED9EF"))}),"")</f>
        <v/>
      </c>
      <c r="I13">
        <f>IFERROR(SPARKLINE(H13,{"charttype","bar";"max",3;"min",1;"color1",IF(H13=3,"#4078DD",IF(H13=2,"#9CB7E9","#CED9EF"))}),"")</f>
        <v/>
      </c>
      <c r="J13">
        <f>IF(H13=1,3,IF(H13=2,2,1))</f>
        <v/>
      </c>
      <c r="K13">
        <f>ROUNDUP(((J13+F13)*E13),1)</f>
        <v/>
      </c>
      <c r="L13" t="n">
        <v>8</v>
      </c>
      <c r="M13">
        <f>IFERROR(IF(A13=FALSE,SPARKLINE(K13:L13,{"charttype","bar";"max",8;"min",0;"color1",IF(K13&gt;=5,"green",IF(K13&lt;=3,"orange","#C9C21D"));"color2","#eeeeee"}),"Done"),"")</f>
        <v/>
      </c>
    </row>
    <row r="14">
      <c r="A14" t="b">
        <v>0</v>
      </c>
      <c r="B14" s="6" t="inlineStr">
        <is>
          <t>Press release distributed with brand positioning language</t>
        </is>
      </c>
      <c r="C14" s="6" t="inlineStr">
        <is>
          <t>PR wire release using exact brand category phrasing</t>
        </is>
      </c>
      <c r="E14">
        <f>IF(D14="Not Relevant","",IF(D14="Good","",IF(D14="Bad",1.33,1)))</f>
        <v/>
      </c>
      <c r="G14">
        <f>IFERROR(SPARKLINE(F14,{"charttype","bar";"max",3;"min",1;"color1",IF(F14=3,"#4078DD",IF(F14=2,"#9CB7E9","#CED9EF"))}),"")</f>
        <v/>
      </c>
      <c r="I14">
        <f>IFERROR(SPARKLINE(H14,{"charttype","bar";"max",3;"min",1;"color1",IF(H14=3,"#4078DD",IF(H14=2,"#9CB7E9","#CED9EF"))}),"")</f>
        <v/>
      </c>
      <c r="J14">
        <f>IF(H14=1,3,IF(H14=2,2,1))</f>
        <v/>
      </c>
      <c r="K14">
        <f>ROUNDUP(((J14+F14)*E14),1)</f>
        <v/>
      </c>
      <c r="L14" t="n">
        <v>8</v>
      </c>
      <c r="M14">
        <f>IFERROR(IF(A14=FALSE,SPARKLINE(K14:L14,{"charttype","bar";"max",8;"min",0;"color1",IF(K14&gt;=5,"green",IF(K14&lt;=3,"orange","#C9C21D"));"color2","#eeeeee"}),"Done"),"")</f>
        <v/>
      </c>
    </row>
    <row r="15">
      <c r="A15" t="b">
        <v>0</v>
      </c>
      <c r="B15" s="6" t="inlineStr">
        <is>
          <t>Review acquisition workflow active (7-14 day post-success trigger)</t>
        </is>
      </c>
      <c r="C15" s="6" t="inlineStr">
        <is>
          <t>Automated email requesting review after successful onboarding milestone</t>
        </is>
      </c>
      <c r="E15">
        <f>IF(D15="Not Relevant","",IF(D15="Good","",IF(D15="Bad",1.33,1)))</f>
        <v/>
      </c>
      <c r="G15">
        <f>IFERROR(SPARKLINE(F15,{"charttype","bar";"max",3;"min",1;"color1",IF(F15=3,"#4078DD",IF(F15=2,"#9CB7E9","#CED9EF"))}),"")</f>
        <v/>
      </c>
      <c r="I15">
        <f>IFERROR(SPARKLINE(H15,{"charttype","bar";"max",3;"min",1;"color1",IF(H15=3,"#4078DD",IF(H15=2,"#9CB7E9","#CED9EF"))}),"")</f>
        <v/>
      </c>
      <c r="J15">
        <f>IF(H15=1,3,IF(H15=2,2,1))</f>
        <v/>
      </c>
      <c r="K15">
        <f>ROUNDUP(((J15+F15)*E15),1)</f>
        <v/>
      </c>
      <c r="L15" t="n">
        <v>8</v>
      </c>
      <c r="M15">
        <f>IFERROR(IF(A15=FALSE,SPARKLINE(K15:L15,{"charttype","bar";"max",8;"min",0;"color1",IF(K15&gt;=5,"green",IF(K15&lt;=3,"orange","#C9C21D"));"color2","#eeeeee"}),"Done"),"")</f>
        <v/>
      </c>
    </row>
    <row r="16">
      <c r="A16" t="b">
        <v>0</v>
      </c>
      <c r="B16" s="6" t="inlineStr">
        <is>
          <t>Author credentials displayed on content pages</t>
        </is>
      </c>
      <c r="C16" s="6" t="inlineStr">
        <is>
          <t>Author bios with title, company, and LinkedIn link on blog posts</t>
        </is>
      </c>
      <c r="E16">
        <f>IF(D16="Not Relevant","",IF(D16="Good","",IF(D16="Bad",1.33,1)))</f>
        <v/>
      </c>
      <c r="G16">
        <f>IFERROR(SPARKLINE(F16,{"charttype","bar";"max",3;"min",1;"color1",IF(F16=3,"#4078DD",IF(F16=2,"#9CB7E9","#CED9EF"))}),"")</f>
        <v/>
      </c>
      <c r="I16">
        <f>IFERROR(SPARKLINE(H16,{"charttype","bar";"max",3;"min",1;"color1",IF(H16=3,"#4078DD",IF(H16=2,"#9CB7E9","#CED9EF"))}),"")</f>
        <v/>
      </c>
      <c r="J16">
        <f>IF(H16=1,3,IF(H16=2,2,1))</f>
        <v/>
      </c>
      <c r="K16">
        <f>ROUNDUP(((J16+F16)*E16),1)</f>
        <v/>
      </c>
      <c r="L16" t="n">
        <v>8</v>
      </c>
      <c r="M16">
        <f>IFERROR(IF(A16=FALSE,SPARKLINE(K16:L16,{"charttype","bar";"max",8;"min",0;"color1",IF(K16&gt;=5,"green",IF(K16&lt;=3,"orange","#C9C21D"));"color2","#eeeeee"}),"Done"),"")</f>
        <v/>
      </c>
    </row>
    <row r="17">
      <c r="A17" t="b">
        <v>0</v>
      </c>
      <c r="B17" s="6" t="inlineStr">
        <is>
          <t>Backlinks from topically-relevant authoritative sites</t>
        </is>
      </c>
      <c r="C17" s="6" t="inlineStr">
        <is>
          <t>Guest posts or features on industry publications, not random directories</t>
        </is>
      </c>
      <c r="E17">
        <f>IF(D17="Not Relevant","",IF(D17="Good","",IF(D17="Bad",1.33,1)))</f>
        <v/>
      </c>
      <c r="G17">
        <f>IFERROR(SPARKLINE(F17,{"charttype","bar";"max",3;"min",1;"color1",IF(F17=3,"#4078DD",IF(F17=2,"#9CB7E9","#CED9EF"))}),"")</f>
        <v/>
      </c>
      <c r="I17">
        <f>IFERROR(SPARKLINE(H17,{"charttype","bar";"max",3;"min",1;"color1",IF(H17=3,"#4078DD",IF(H17=2,"#9CB7E9","#CED9EF"))}),"")</f>
        <v/>
      </c>
      <c r="J17">
        <f>IF(H17=1,3,IF(H17=2,2,1))</f>
        <v/>
      </c>
      <c r="K17">
        <f>ROUNDUP(((J17+F17)*E17),1)</f>
        <v/>
      </c>
      <c r="L17" t="n">
        <v>8</v>
      </c>
      <c r="M17">
        <f>IFERROR(IF(A17=FALSE,SPARKLINE(K17:L17,{"charttype","bar";"max",8;"min",0;"color1",IF(K17&gt;=5,"green",IF(K17&lt;=3,"orange","#C9C21D"));"color2","#eeeeee"}),"Done"),"")</f>
        <v/>
      </c>
    </row>
  </sheetData>
  <dataValidations count="1">
    <dataValidation sqref="D3:D17" showDropDown="0" showInputMessage="0" showErrorMessage="0" allowBlank="1" type="list">
      <formula1>"Good,Can be Improved,Bad,Not Relevant"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88" customWidth="1" min="1" max="1"/>
    <col width="79" customWidth="1" min="2" max="2"/>
    <col width="10.25" customWidth="1" min="3" max="3"/>
    <col width="17" customWidth="1" min="4" max="4"/>
    <col width="10.88" customWidth="1" min="5" max="5"/>
    <col width="6" customWidth="1" min="6" max="6"/>
    <col width="8" customWidth="1" min="7" max="7"/>
    <col width="6" customWidth="1" min="8" max="8"/>
    <col width="8" customWidth="1" min="9" max="9"/>
    <col width="10" customWidth="1" min="10" max="10"/>
    <col width="6" customWidth="1" min="11" max="11"/>
    <col width="5" customWidth="1" min="12" max="12"/>
    <col width="10" customWidth="1" min="13" max="13"/>
  </cols>
  <sheetData>
    <row r="1">
      <c r="A1" s="4" t="inlineStr"/>
      <c r="B1" s="4" t="inlineStr">
        <is>
          <t>LLM-Specific Optimization - AEO Checkpoint</t>
        </is>
      </c>
      <c r="C1" s="4" t="inlineStr">
        <is>
          <t>Example</t>
        </is>
      </c>
      <c r="D1" s="4" t="inlineStr">
        <is>
          <t>Evaluation</t>
        </is>
      </c>
      <c r="E1" s="4" t="inlineStr">
        <is>
          <t>Factor</t>
        </is>
      </c>
      <c r="F1" s="4" t="inlineStr">
        <is>
          <t>Impact</t>
        </is>
      </c>
      <c r="G1" s="4" t="inlineStr">
        <is>
          <t>Impact</t>
        </is>
      </c>
      <c r="H1" s="4" t="inlineStr">
        <is>
          <t>Cost</t>
        </is>
      </c>
      <c r="I1" s="4" t="inlineStr">
        <is>
          <t>Cost</t>
        </is>
      </c>
      <c r="J1" s="4" t="inlineStr">
        <is>
          <t>Cost for Sum</t>
        </is>
      </c>
      <c r="K1" s="4" t="inlineStr">
        <is>
          <t>Sum</t>
        </is>
      </c>
      <c r="L1" s="4" t="inlineStr">
        <is>
          <t>Max</t>
        </is>
      </c>
      <c r="M1" s="4" t="inlineStr">
        <is>
          <t>Priority</t>
        </is>
      </c>
    </row>
    <row r="2">
      <c r="A2" s="5" t="n"/>
      <c r="B2" s="1" t="inlineStr">
        <is>
          <t>LLM-Specific Optimization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b">
        <v>0</v>
      </c>
      <c r="B3" s="6" t="inlineStr">
        <is>
          <t>ChatGPT: Bing Webmaster Tools verified</t>
        </is>
      </c>
      <c r="C3" s="6" t="inlineStr">
        <is>
          <t>Site verified and sitemap submitted in Bing Webmaster Tools</t>
        </is>
      </c>
      <c r="E3">
        <f>IF(D3="Not Relevant","",IF(D3="Good","",IF(D3="Bad",1.33,1)))</f>
        <v/>
      </c>
      <c r="G3">
        <f>IFERROR(SPARKLINE(F3,{"charttype","bar";"max",3;"min",1;"color1",IF(F3=3,"#4078DD",IF(F3=2,"#9CB7E9","#CED9EF"))}),"")</f>
        <v/>
      </c>
      <c r="I3">
        <f>IFERROR(SPARKLINE(H3,{"charttype","bar";"max",3;"min",1;"color1",IF(H3=3,"#4078DD",IF(H3=2,"#9CB7E9","#CED9EF"))}),"")</f>
        <v/>
      </c>
      <c r="J3">
        <f>IF(H3=1,3,IF(H3=2,2,1))</f>
        <v/>
      </c>
      <c r="K3">
        <f>ROUNDUP(((J3+F3)*E3),1)</f>
        <v/>
      </c>
      <c r="L3" t="n">
        <v>8</v>
      </c>
      <c r="M3">
        <f>IFERROR(IF(A3=FALSE,SPARKLINE(K3:L3,{"charttype","bar";"max",8;"min",0;"color1",IF(K3&gt;=5,"green",IF(K3&lt;=3,"orange","#C9C21D"));"color2","#eeeeee"}),"Done"),"")</f>
        <v/>
      </c>
    </row>
    <row r="4">
      <c r="A4" t="b">
        <v>0</v>
      </c>
      <c r="B4" s="6" t="inlineStr">
        <is>
          <t>ChatGPT: OAI-SearchBot crawling confirmed in server logs</t>
        </is>
      </c>
      <c r="C4" s="6" t="inlineStr">
        <is>
          <t>Log entries showing OAI-SearchBot user agent accessing key pages</t>
        </is>
      </c>
      <c r="E4">
        <f>IF(D4="Not Relevant","",IF(D4="Good","",IF(D4="Bad",1.33,1)))</f>
        <v/>
      </c>
      <c r="G4">
        <f>IFERROR(SPARKLINE(F4,{"charttype","bar";"max",3;"min",1;"color1",IF(F4=3,"#4078DD",IF(F4=2,"#9CB7E9","#CED9EF"))}),"")</f>
        <v/>
      </c>
      <c r="I4">
        <f>IFERROR(SPARKLINE(H4,{"charttype","bar";"max",3;"min",1;"color1",IF(H4=3,"#4078DD",IF(H4=2,"#9CB7E9","#CED9EF"))}),"")</f>
        <v/>
      </c>
      <c r="J4">
        <f>IF(H4=1,3,IF(H4=2,2,1))</f>
        <v/>
      </c>
      <c r="K4">
        <f>ROUNDUP(((J4+F4)*E4),1)</f>
        <v/>
      </c>
      <c r="L4" t="n">
        <v>8</v>
      </c>
      <c r="M4">
        <f>IFERROR(IF(A4=FALSE,SPARKLINE(K4:L4,{"charttype","bar";"max",8;"min",0;"color1",IF(K4&gt;=5,"green",IF(K4&lt;=3,"orange","#C9C21D"));"color2","#eeeeee"}),"Done"),"")</f>
        <v/>
      </c>
    </row>
    <row r="5">
      <c r="A5" t="b">
        <v>0</v>
      </c>
      <c r="B5" s="6" t="inlineStr">
        <is>
          <t>ChatGPT: Key pages force-fetched via prompt</t>
        </is>
      </c>
      <c r="C5" s="6" t="inlineStr">
        <is>
          <t>Ask ChatGPT: "Search [url] and summarize" for each critical page</t>
        </is>
      </c>
      <c r="E5">
        <f>IF(D5="Not Relevant","",IF(D5="Good","",IF(D5="Bad",1.33,1)))</f>
        <v/>
      </c>
      <c r="G5">
        <f>IFERROR(SPARKLINE(F5,{"charttype","bar";"max",3;"min",1;"color1",IF(F5=3,"#4078DD",IF(F5=2,"#9CB7E9","#CED9EF"))}),"")</f>
        <v/>
      </c>
      <c r="I5">
        <f>IFERROR(SPARKLINE(H5,{"charttype","bar";"max",3;"min",1;"color1",IF(H5=3,"#4078DD",IF(H5=2,"#9CB7E9","#CED9EF"))}),"")</f>
        <v/>
      </c>
      <c r="J5">
        <f>IF(H5=1,3,IF(H5=2,2,1))</f>
        <v/>
      </c>
      <c r="K5">
        <f>ROUNDUP(((J5+F5)*E5),1)</f>
        <v/>
      </c>
      <c r="L5" t="n">
        <v>8</v>
      </c>
      <c r="M5">
        <f>IFERROR(IF(A5=FALSE,SPARKLINE(K5:L5,{"charttype","bar";"max",8;"min",0;"color1",IF(K5&gt;=5,"green",IF(K5&lt;=3,"orange","#C9C21D"));"color2","#eeeeee"}),"Done"),"")</f>
        <v/>
      </c>
    </row>
    <row r="6">
      <c r="A6" t="b">
        <v>0</v>
      </c>
      <c r="B6" s="6" t="inlineStr">
        <is>
          <t>ChatGPT: Cache fingerprint checked (utm_source=openai = stale)</t>
        </is>
      </c>
      <c r="C6" s="6" t="inlineStr">
        <is>
          <t>If ChatGPT cites URL with utm_source=openai the cache is from Bing not fresh</t>
        </is>
      </c>
      <c r="E6">
        <f>IF(D6="Not Relevant","",IF(D6="Good","",IF(D6="Bad",1.33,1)))</f>
        <v/>
      </c>
      <c r="G6">
        <f>IFERROR(SPARKLINE(F6,{"charttype","bar";"max",3;"min",1;"color1",IF(F6=3,"#4078DD",IF(F6=2,"#9CB7E9","#CED9EF"))}),"")</f>
        <v/>
      </c>
      <c r="I6">
        <f>IFERROR(SPARKLINE(H6,{"charttype","bar";"max",3;"min",1;"color1",IF(H6=3,"#4078DD",IF(H6=2,"#9CB7E9","#CED9EF"))}),"")</f>
        <v/>
      </c>
      <c r="J6">
        <f>IF(H6=1,3,IF(H6=2,2,1))</f>
        <v/>
      </c>
      <c r="K6">
        <f>ROUNDUP(((J6+F6)*E6),1)</f>
        <v/>
      </c>
      <c r="L6" t="n">
        <v>8</v>
      </c>
      <c r="M6">
        <f>IFERROR(IF(A6=FALSE,SPARKLINE(K6:L6,{"charttype","bar";"max",8;"min",0;"color1",IF(K6&gt;=5,"green",IF(K6&lt;=3,"orange","#C9C21D"));"color2","#eeeeee"}),"Done"),"")</f>
        <v/>
      </c>
    </row>
    <row r="7">
      <c r="A7" t="b">
        <v>0</v>
      </c>
      <c r="B7" s="6" t="inlineStr">
        <is>
          <t>ChatGPT: Cache-busting used after content updates</t>
        </is>
      </c>
      <c r="C7" s="6" t="inlineStr">
        <is>
          <t>Append ?v=new to URLs and re-fetch after major content changes</t>
        </is>
      </c>
      <c r="E7">
        <f>IF(D7="Not Relevant","",IF(D7="Good","",IF(D7="Bad",1.33,1)))</f>
        <v/>
      </c>
      <c r="G7">
        <f>IFERROR(SPARKLINE(F7,{"charttype","bar";"max",3;"min",1;"color1",IF(F7=3,"#4078DD",IF(F7=2,"#9CB7E9","#CED9EF"))}),"")</f>
        <v/>
      </c>
      <c r="I7">
        <f>IFERROR(SPARKLINE(H7,{"charttype","bar";"max",3;"min",1;"color1",IF(H7=3,"#4078DD",IF(H7=2,"#9CB7E9","#CED9EF"))}),"")</f>
        <v/>
      </c>
      <c r="J7">
        <f>IF(H7=1,3,IF(H7=2,2,1))</f>
        <v/>
      </c>
      <c r="K7">
        <f>ROUNDUP(((J7+F7)*E7),1)</f>
        <v/>
      </c>
      <c r="L7" t="n">
        <v>8</v>
      </c>
      <c r="M7">
        <f>IFERROR(IF(A7=FALSE,SPARKLINE(K7:L7,{"charttype","bar";"max",8;"min",0;"color1",IF(K7&gt;=5,"green",IF(K7&lt;=3,"orange","#C9C21D"));"color2","#eeeeee"}),"Done"),"")</f>
        <v/>
      </c>
    </row>
    <row r="8">
      <c r="A8" t="b">
        <v>0</v>
      </c>
      <c r="B8" s="6" t="inlineStr">
        <is>
          <t>Gemini: Google Search Console verified</t>
        </is>
      </c>
      <c r="C8" s="6" t="inlineStr">
        <is>
          <t>Site verified with all sitemaps submitted</t>
        </is>
      </c>
      <c r="E8">
        <f>IF(D8="Not Relevant","",IF(D8="Good","",IF(D8="Bad",1.33,1)))</f>
        <v/>
      </c>
      <c r="G8">
        <f>IFERROR(SPARKLINE(F8,{"charttype","bar";"max",3;"min",1;"color1",IF(F8=3,"#4078DD",IF(F8=2,"#9CB7E9","#CED9EF"))}),"")</f>
        <v/>
      </c>
      <c r="I8">
        <f>IFERROR(SPARKLINE(H8,{"charttype","bar";"max",3;"min",1;"color1",IF(H8=3,"#4078DD",IF(H8=2,"#9CB7E9","#CED9EF"))}),"")</f>
        <v/>
      </c>
      <c r="J8">
        <f>IF(H8=1,3,IF(H8=2,2,1))</f>
        <v/>
      </c>
      <c r="K8">
        <f>ROUNDUP(((J8+F8)*E8),1)</f>
        <v/>
      </c>
      <c r="L8" t="n">
        <v>8</v>
      </c>
      <c r="M8">
        <f>IFERROR(IF(A8=FALSE,SPARKLINE(K8:L8,{"charttype","bar";"max",8;"min",0;"color1",IF(K8&gt;=5,"green",IF(K8&lt;=3,"orange","#C9C21D"));"color2","#eeeeee"}),"Done"),"")</f>
        <v/>
      </c>
    </row>
    <row r="9">
      <c r="A9" t="b">
        <v>0</v>
      </c>
      <c r="B9" s="6" t="inlineStr">
        <is>
          <t>Gemini: E-E-A-T signals strong across site</t>
        </is>
      </c>
      <c r="C9" s="6" t="inlineStr">
        <is>
          <t>Author bios, about page, credentials, external validation present</t>
        </is>
      </c>
      <c r="E9">
        <f>IF(D9="Not Relevant","",IF(D9="Good","",IF(D9="Bad",1.33,1)))</f>
        <v/>
      </c>
      <c r="G9">
        <f>IFERROR(SPARKLINE(F9,{"charttype","bar";"max",3;"min",1;"color1",IF(F9=3,"#4078DD",IF(F9=2,"#9CB7E9","#CED9EF"))}),"")</f>
        <v/>
      </c>
      <c r="I9">
        <f>IFERROR(SPARKLINE(H9,{"charttype","bar";"max",3;"min",1;"color1",IF(H9=3,"#4078DD",IF(H9=2,"#9CB7E9","#CED9EF"))}),"")</f>
        <v/>
      </c>
      <c r="J9">
        <f>IF(H9=1,3,IF(H9=2,2,1))</f>
        <v/>
      </c>
      <c r="K9">
        <f>ROUNDUP(((J9+F9)*E9),1)</f>
        <v/>
      </c>
      <c r="L9" t="n">
        <v>8</v>
      </c>
      <c r="M9">
        <f>IFERROR(IF(A9=FALSE,SPARKLINE(K9:L9,{"charttype","bar";"max",8;"min",0;"color1",IF(K9&gt;=5,"green",IF(K9&lt;=3,"orange","#C9C21D"));"color2","#eeeeee"}),"Done"),"")</f>
        <v/>
      </c>
    </row>
    <row r="10">
      <c r="A10" t="b">
        <v>0</v>
      </c>
      <c r="B10" s="6" t="inlineStr">
        <is>
          <t>Gemini: Grounding Blocks on key pages (HTML tables with stats)</t>
        </is>
      </c>
      <c r="C10" s="6" t="inlineStr">
        <is>
          <t>&lt;table&gt; elements with numerical data that Gemini can ground against</t>
        </is>
      </c>
      <c r="E10">
        <f>IF(D10="Not Relevant","",IF(D10="Good","",IF(D10="Bad",1.33,1)))</f>
        <v/>
      </c>
      <c r="G10">
        <f>IFERROR(SPARKLINE(F10,{"charttype","bar";"max",3;"min",1;"color1",IF(F10=3,"#4078DD",IF(F10=2,"#9CB7E9","#CED9EF"))}),"")</f>
        <v/>
      </c>
      <c r="I10">
        <f>IFERROR(SPARKLINE(H10,{"charttype","bar";"max",3;"min",1;"color1",IF(H10=3,"#4078DD",IF(H10=2,"#9CB7E9","#CED9EF"))}),"")</f>
        <v/>
      </c>
      <c r="J10">
        <f>IF(H10=1,3,IF(H10=2,2,1))</f>
        <v/>
      </c>
      <c r="K10">
        <f>ROUNDUP(((J10+F10)*E10),1)</f>
        <v/>
      </c>
      <c r="L10" t="n">
        <v>8</v>
      </c>
      <c r="M10">
        <f>IFERROR(IF(A10=FALSE,SPARKLINE(K10:L10,{"charttype","bar";"max",8;"min",0;"color1",IF(K10&gt;=5,"green",IF(K10&lt;=3,"orange","#C9C21D"));"color2","#eeeeee"}),"Done"),"")</f>
        <v/>
      </c>
    </row>
    <row r="11">
      <c r="A11" t="b">
        <v>0</v>
      </c>
      <c r="B11" s="6" t="inlineStr">
        <is>
          <t>Gemini: Top 10 Google ranking for entity queries</t>
        </is>
      </c>
      <c r="C11" s="6" t="inlineStr">
        <is>
          <t>Brand name + category query ranks on page 1 of Google</t>
        </is>
      </c>
      <c r="E11">
        <f>IF(D11="Not Relevant","",IF(D11="Good","",IF(D11="Bad",1.33,1)))</f>
        <v/>
      </c>
      <c r="G11">
        <f>IFERROR(SPARKLINE(F11,{"charttype","bar";"max",3;"min",1;"color1",IF(F11=3,"#4078DD",IF(F11=2,"#9CB7E9","#CED9EF"))}),"")</f>
        <v/>
      </c>
      <c r="I11">
        <f>IFERROR(SPARKLINE(H11,{"charttype","bar";"max",3;"min",1;"color1",IF(H11=3,"#4078DD",IF(H11=2,"#9CB7E9","#CED9EF"))}),"")</f>
        <v/>
      </c>
      <c r="J11">
        <f>IF(H11=1,3,IF(H11=2,2,1))</f>
        <v/>
      </c>
      <c r="K11">
        <f>ROUNDUP(((J11+F11)*E11),1)</f>
        <v/>
      </c>
      <c r="L11" t="n">
        <v>8</v>
      </c>
      <c r="M11">
        <f>IFERROR(IF(A11=FALSE,SPARKLINE(K11:L11,{"charttype","bar";"max",8;"min",0;"color1",IF(K11&gt;=5,"green",IF(K11&lt;=3,"orange","#C9C21D"));"color2","#eeeeee"}),"Done"),"")</f>
        <v/>
      </c>
    </row>
    <row r="12">
      <c r="A12" t="b">
        <v>0</v>
      </c>
      <c r="B12" s="6" t="inlineStr">
        <is>
          <t>Gemini: Statistics with verifiable sources on key pages</t>
        </is>
      </c>
      <c r="C12" s="6" t="inlineStr">
        <is>
          <t>Numbers cited with source: "According to [Source], [Year]"</t>
        </is>
      </c>
      <c r="E12">
        <f>IF(D12="Not Relevant","",IF(D12="Good","",IF(D12="Bad",1.33,1)))</f>
        <v/>
      </c>
      <c r="G12">
        <f>IFERROR(SPARKLINE(F12,{"charttype","bar";"max",3;"min",1;"color1",IF(F12=3,"#4078DD",IF(F12=2,"#9CB7E9","#CED9EF"))}),"")</f>
        <v/>
      </c>
      <c r="I12">
        <f>IFERROR(SPARKLINE(H12,{"charttype","bar";"max",3;"min",1;"color1",IF(H12=3,"#4078DD",IF(H12=2,"#9CB7E9","#CED9EF"))}),"")</f>
        <v/>
      </c>
      <c r="J12">
        <f>IF(H12=1,3,IF(H12=2,2,1))</f>
        <v/>
      </c>
      <c r="K12">
        <f>ROUNDUP(((J12+F12)*E12),1)</f>
        <v/>
      </c>
      <c r="L12" t="n">
        <v>8</v>
      </c>
      <c r="M12">
        <f>IFERROR(IF(A12=FALSE,SPARKLINE(K12:L12,{"charttype","bar";"max",8;"min",0;"color1",IF(K12&gt;=5,"green",IF(K12&lt;=3,"orange","#C9C21D"));"color2","#eeeeee"}),"Done"),"")</f>
        <v/>
      </c>
    </row>
    <row r="13">
      <c r="A13" t="b">
        <v>0</v>
      </c>
      <c r="B13" s="6" t="inlineStr">
        <is>
          <t>Perplexity: Top Google results for target queries</t>
        </is>
      </c>
      <c r="C13" s="6" t="inlineStr">
        <is>
          <t>Key pages rank well in Google (Perplexity pulls from top results)</t>
        </is>
      </c>
      <c r="E13">
        <f>IF(D13="Not Relevant","",IF(D13="Good","",IF(D13="Bad",1.33,1)))</f>
        <v/>
      </c>
      <c r="G13">
        <f>IFERROR(SPARKLINE(F13,{"charttype","bar";"max",3;"min",1;"color1",IF(F13=3,"#4078DD",IF(F13=2,"#9CB7E9","#CED9EF"))}),"")</f>
        <v/>
      </c>
      <c r="I13">
        <f>IFERROR(SPARKLINE(H13,{"charttype","bar";"max",3;"min",1;"color1",IF(H13=3,"#4078DD",IF(H13=2,"#9CB7E9","#CED9EF"))}),"")</f>
        <v/>
      </c>
      <c r="J13">
        <f>IF(H13=1,3,IF(H13=2,2,1))</f>
        <v/>
      </c>
      <c r="K13">
        <f>ROUNDUP(((J13+F13)*E13),1)</f>
        <v/>
      </c>
      <c r="L13" t="n">
        <v>8</v>
      </c>
      <c r="M13">
        <f>IFERROR(IF(A13=FALSE,SPARKLINE(K13:L13,{"charttype","bar";"max",8;"min",0;"color1",IF(K13&gt;=5,"green",IF(K13&lt;=3,"orange","#C9C21D"));"color2","#eeeeee"}),"Done"),"")</f>
        <v/>
      </c>
    </row>
    <row r="14">
      <c r="A14" t="b">
        <v>0</v>
      </c>
      <c r="B14" s="6" t="inlineStr">
        <is>
          <t>Perplexity: Citation-friendly content structure</t>
        </is>
      </c>
      <c r="C14" s="6" t="inlineStr">
        <is>
          <t>Clear factual statements that are easy to cite with source attribution</t>
        </is>
      </c>
      <c r="E14">
        <f>IF(D14="Not Relevant","",IF(D14="Good","",IF(D14="Bad",1.33,1)))</f>
        <v/>
      </c>
      <c r="G14">
        <f>IFERROR(SPARKLINE(F14,{"charttype","bar";"max",3;"min",1;"color1",IF(F14=3,"#4078DD",IF(F14=2,"#9CB7E9","#CED9EF"))}),"")</f>
        <v/>
      </c>
      <c r="I14">
        <f>IFERROR(SPARKLINE(H14,{"charttype","bar";"max",3;"min",1;"color1",IF(H14=3,"#4078DD",IF(H14=2,"#9CB7E9","#CED9EF"))}),"")</f>
        <v/>
      </c>
      <c r="J14">
        <f>IF(H14=1,3,IF(H14=2,2,1))</f>
        <v/>
      </c>
      <c r="K14">
        <f>ROUNDUP(((J14+F14)*E14),1)</f>
        <v/>
      </c>
      <c r="L14" t="n">
        <v>8</v>
      </c>
      <c r="M14">
        <f>IFERROR(IF(A14=FALSE,SPARKLINE(K14:L14,{"charttype","bar";"max",8;"min",0;"color1",IF(K14&gt;=5,"green",IF(K14&lt;=3,"orange","#C9C21D"));"color2","#eeeeee"}),"Done"),"")</f>
        <v/>
      </c>
    </row>
    <row r="15">
      <c r="A15" t="b">
        <v>0</v>
      </c>
      <c r="B15" s="6" t="inlineStr">
        <is>
          <t>Claude: Brave Search presence verified</t>
        </is>
      </c>
      <c r="C15" s="6" t="inlineStr">
        <is>
          <t>Key pages appear in Brave Search results for target queries</t>
        </is>
      </c>
      <c r="E15">
        <f>IF(D15="Not Relevant","",IF(D15="Good","",IF(D15="Bad",1.33,1)))</f>
        <v/>
      </c>
      <c r="G15">
        <f>IFERROR(SPARKLINE(F15,{"charttype","bar";"max",3;"min",1;"color1",IF(F15=3,"#4078DD",IF(F15=2,"#9CB7E9","#CED9EF"))}),"")</f>
        <v/>
      </c>
      <c r="I15">
        <f>IFERROR(SPARKLINE(H15,{"charttype","bar";"max",3;"min",1;"color1",IF(H15=3,"#4078DD",IF(H15=2,"#9CB7E9","#CED9EF"))}),"")</f>
        <v/>
      </c>
      <c r="J15">
        <f>IF(H15=1,3,IF(H15=2,2,1))</f>
        <v/>
      </c>
      <c r="K15">
        <f>ROUNDUP(((J15+F15)*E15),1)</f>
        <v/>
      </c>
      <c r="L15" t="n">
        <v>8</v>
      </c>
      <c r="M15">
        <f>IFERROR(IF(A15=FALSE,SPARKLINE(K15:L15,{"charttype","bar";"max",8;"min",0;"color1",IF(K15&gt;=5,"green",IF(K15&lt;=3,"orange","#C9C21D"));"color2","#eeeeee"}),"Done"),"")</f>
        <v/>
      </c>
    </row>
    <row r="16">
      <c r="A16" t="b">
        <v>0</v>
      </c>
      <c r="B16" s="6" t="inlineStr">
        <is>
          <t>All LLMs: Force-fetch each updated page individually</t>
        </is>
      </c>
      <c r="C16" s="6" t="inlineStr">
        <is>
          <t>After updating /pricing, specifically prompt each LLM to read that URL</t>
        </is>
      </c>
      <c r="E16">
        <f>IF(D16="Not Relevant","",IF(D16="Good","",IF(D16="Bad",1.33,1)))</f>
        <v/>
      </c>
      <c r="G16">
        <f>IFERROR(SPARKLINE(F16,{"charttype","bar";"max",3;"min",1;"color1",IF(F16=3,"#4078DD",IF(F16=2,"#9CB7E9","#CED9EF"))}),"")</f>
        <v/>
      </c>
      <c r="I16">
        <f>IFERROR(SPARKLINE(H16,{"charttype","bar";"max",3;"min",1;"color1",IF(H16=3,"#4078DD",IF(H16=2,"#9CB7E9","#CED9EF"))}),"")</f>
        <v/>
      </c>
      <c r="J16">
        <f>IF(H16=1,3,IF(H16=2,2,1))</f>
        <v/>
      </c>
      <c r="K16">
        <f>ROUNDUP(((J16+F16)*E16),1)</f>
        <v/>
      </c>
      <c r="L16" t="n">
        <v>8</v>
      </c>
      <c r="M16">
        <f>IFERROR(IF(A16=FALSE,SPARKLINE(K16:L16,{"charttype","bar";"max",8;"min",0;"color1",IF(K16&gt;=5,"green",IF(K16&lt;=3,"orange","#C9C21D"));"color2","#eeeeee"}),"Done"),"")</f>
        <v/>
      </c>
    </row>
    <row r="17">
      <c r="A17" t="b">
        <v>0</v>
      </c>
      <c r="B17" s="6" t="inlineStr">
        <is>
          <t>All LLMs: Seeding prompts used after major launches</t>
        </is>
      </c>
      <c r="C17" s="6" t="inlineStr">
        <is>
          <t>Ask each LLM about your brand after content updates to prime the cache</t>
        </is>
      </c>
      <c r="E17">
        <f>IF(D17="Not Relevant","",IF(D17="Good","",IF(D17="Bad",1.33,1)))</f>
        <v/>
      </c>
      <c r="G17">
        <f>IFERROR(SPARKLINE(F17,{"charttype","bar";"max",3;"min",1;"color1",IF(F17=3,"#4078DD",IF(F17=2,"#9CB7E9","#CED9EF"))}),"")</f>
        <v/>
      </c>
      <c r="I17">
        <f>IFERROR(SPARKLINE(H17,{"charttype","bar";"max",3;"min",1;"color1",IF(H17=3,"#4078DD",IF(H17=2,"#9CB7E9","#CED9EF"))}),"")</f>
        <v/>
      </c>
      <c r="J17">
        <f>IF(H17=1,3,IF(H17=2,2,1))</f>
        <v/>
      </c>
      <c r="K17">
        <f>ROUNDUP(((J17+F17)*E17),1)</f>
        <v/>
      </c>
      <c r="L17" t="n">
        <v>8</v>
      </c>
      <c r="M17">
        <f>IFERROR(IF(A17=FALSE,SPARKLINE(K17:L17,{"charttype","bar";"max",8;"min",0;"color1",IF(K17&gt;=5,"green",IF(K17&lt;=3,"orange","#C9C21D"));"color2","#eeeeee"}),"Done"),"")</f>
        <v/>
      </c>
    </row>
    <row r="18">
      <c r="A18" t="b">
        <v>0</v>
      </c>
      <c r="B18" s="6" t="inlineStr">
        <is>
          <t>All LLMs: Branded query returns accurate information</t>
        </is>
      </c>
      <c r="C18" s="6" t="inlineStr">
        <is>
          <t>Ask "What is [Brand]?" on each LLM and verify accuracy</t>
        </is>
      </c>
      <c r="E18">
        <f>IF(D18="Not Relevant","",IF(D18="Good","",IF(D18="Bad",1.33,1)))</f>
        <v/>
      </c>
      <c r="G18">
        <f>IFERROR(SPARKLINE(F18,{"charttype","bar";"max",3;"min",1;"color1",IF(F18=3,"#4078DD",IF(F18=2,"#9CB7E9","#CED9EF"))}),"")</f>
        <v/>
      </c>
      <c r="I18">
        <f>IFERROR(SPARKLINE(H18,{"charttype","bar";"max",3;"min",1;"color1",IF(H18=3,"#4078DD",IF(H18=2,"#9CB7E9","#CED9EF"))}),"")</f>
        <v/>
      </c>
      <c r="J18">
        <f>IF(H18=1,3,IF(H18=2,2,1))</f>
        <v/>
      </c>
      <c r="K18">
        <f>ROUNDUP(((J18+F18)*E18),1)</f>
        <v/>
      </c>
      <c r="L18" t="n">
        <v>8</v>
      </c>
      <c r="M18">
        <f>IFERROR(IF(A18=FALSE,SPARKLINE(K18:L18,{"charttype","bar";"max",8;"min",0;"color1",IF(K18&gt;=5,"green",IF(K18&lt;=3,"orange","#C9C21D"));"color2","#eeeeee"}),"Done"),"")</f>
        <v/>
      </c>
    </row>
    <row r="19">
      <c r="A19" t="b">
        <v>0</v>
      </c>
      <c r="B19" s="6" t="inlineStr">
        <is>
          <t>All LLMs: Non-branded discovery queries tested</t>
        </is>
      </c>
      <c r="C19" s="6" t="inlineStr">
        <is>
          <t>Ask "Best [category] for [use case]" and check if brand appears</t>
        </is>
      </c>
      <c r="E19">
        <f>IF(D19="Not Relevant","",IF(D19="Good","",IF(D19="Bad",1.33,1)))</f>
        <v/>
      </c>
      <c r="G19">
        <f>IFERROR(SPARKLINE(F19,{"charttype","bar";"max",3;"min",1;"color1",IF(F19=3,"#4078DD",IF(F19=2,"#9CB7E9","#CED9EF"))}),"")</f>
        <v/>
      </c>
      <c r="I19">
        <f>IFERROR(SPARKLINE(H19,{"charttype","bar";"max",3;"min",1;"color1",IF(H19=3,"#4078DD",IF(H19=2,"#9CB7E9","#CED9EF"))}),"")</f>
        <v/>
      </c>
      <c r="J19">
        <f>IF(H19=1,3,IF(H19=2,2,1))</f>
        <v/>
      </c>
      <c r="K19">
        <f>ROUNDUP(((J19+F19)*E19),1)</f>
        <v/>
      </c>
      <c r="L19" t="n">
        <v>8</v>
      </c>
      <c r="M19">
        <f>IFERROR(IF(A19=FALSE,SPARKLINE(K19:L19,{"charttype","bar";"max",8;"min",0;"color1",IF(K19&gt;=5,"green",IF(K19&lt;=3,"orange","#C9C21D"));"color2","#eeeeee"}),"Done"),"")</f>
        <v/>
      </c>
    </row>
    <row r="20">
      <c r="A20" t="b">
        <v>0</v>
      </c>
      <c r="B20" s="6" t="inlineStr">
        <is>
          <t>All LLMs: Per-page force-fetch after ANY content update</t>
        </is>
      </c>
      <c r="C20" s="6" t="inlineStr">
        <is>
          <t>Every content change triggers individual page re-fetch across all LLMs</t>
        </is>
      </c>
      <c r="E20">
        <f>IF(D20="Not Relevant","",IF(D20="Good","",IF(D20="Bad",1.33,1)))</f>
        <v/>
      </c>
      <c r="G20">
        <f>IFERROR(SPARKLINE(F20,{"charttype","bar";"max",3;"min",1;"color1",IF(F20=3,"#4078DD",IF(F20=2,"#9CB7E9","#CED9EF"))}),"")</f>
        <v/>
      </c>
      <c r="I20">
        <f>IFERROR(SPARKLINE(H20,{"charttype","bar";"max",3;"min",1;"color1",IF(H20=3,"#4078DD",IF(H20=2,"#9CB7E9","#CED9EF"))}),"")</f>
        <v/>
      </c>
      <c r="J20">
        <f>IF(H20=1,3,IF(H20=2,2,1))</f>
        <v/>
      </c>
      <c r="K20">
        <f>ROUNDUP(((J20+F20)*E20),1)</f>
        <v/>
      </c>
      <c r="L20" t="n">
        <v>8</v>
      </c>
      <c r="M20">
        <f>IFERROR(IF(A20=FALSE,SPARKLINE(K20:L20,{"charttype","bar";"max",8;"min",0;"color1",IF(K20&gt;=5,"green",IF(K20&lt;=3,"orange","#C9C21D"));"color2","#eeeeee"}),"Done"),"")</f>
        <v/>
      </c>
    </row>
  </sheetData>
  <dataValidations count="1">
    <dataValidation sqref="D3:D20" showDropDown="0" showInputMessage="0" showErrorMessage="0" allowBlank="1" type="list">
      <formula1>"Good,Can be Improved,Bad,Not Relevant"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88" customWidth="1" min="1" max="1"/>
    <col width="79" customWidth="1" min="2" max="2"/>
    <col width="10.25" customWidth="1" min="3" max="3"/>
    <col width="17" customWidth="1" min="4" max="4"/>
    <col width="10.88" customWidth="1" min="5" max="5"/>
    <col width="6" customWidth="1" min="6" max="6"/>
    <col width="8" customWidth="1" min="7" max="7"/>
    <col width="6" customWidth="1" min="8" max="8"/>
    <col width="8" customWidth="1" min="9" max="9"/>
    <col width="10" customWidth="1" min="10" max="10"/>
    <col width="6" customWidth="1" min="11" max="11"/>
    <col width="5" customWidth="1" min="12" max="12"/>
    <col width="10" customWidth="1" min="13" max="13"/>
  </cols>
  <sheetData>
    <row r="1">
      <c r="A1" s="4" t="inlineStr"/>
      <c r="B1" s="4" t="inlineStr">
        <is>
          <t>Monitoring and Analytics - AEO Checkpoint</t>
        </is>
      </c>
      <c r="C1" s="4" t="inlineStr">
        <is>
          <t>Example</t>
        </is>
      </c>
      <c r="D1" s="4" t="inlineStr">
        <is>
          <t>Evaluation</t>
        </is>
      </c>
      <c r="E1" s="4" t="inlineStr">
        <is>
          <t>Factor</t>
        </is>
      </c>
      <c r="F1" s="4" t="inlineStr">
        <is>
          <t>Impact</t>
        </is>
      </c>
      <c r="G1" s="4" t="inlineStr">
        <is>
          <t>Impact</t>
        </is>
      </c>
      <c r="H1" s="4" t="inlineStr">
        <is>
          <t>Cost</t>
        </is>
      </c>
      <c r="I1" s="4" t="inlineStr">
        <is>
          <t>Cost</t>
        </is>
      </c>
      <c r="J1" s="4" t="inlineStr">
        <is>
          <t>Cost for Sum</t>
        </is>
      </c>
      <c r="K1" s="4" t="inlineStr">
        <is>
          <t>Sum</t>
        </is>
      </c>
      <c r="L1" s="4" t="inlineStr">
        <is>
          <t>Max</t>
        </is>
      </c>
      <c r="M1" s="4" t="inlineStr">
        <is>
          <t>Priority</t>
        </is>
      </c>
    </row>
    <row r="2">
      <c r="A2" s="5" t="n"/>
      <c r="B2" s="1" t="inlineStr">
        <is>
          <t>Monitoring and Analytics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b">
        <v>0</v>
      </c>
      <c r="B3" s="6" t="inlineStr">
        <is>
          <t>Weekly LLM citation check across all major LLMs</t>
        </is>
      </c>
      <c r="C3" s="6" t="inlineStr">
        <is>
          <t>Every Monday: ask branded + discovery queries on ChatGPT, Gemini, Perplexity, Claude</t>
        </is>
      </c>
      <c r="E3">
        <f>IF(D3="Not Relevant","",IF(D3="Good","",IF(D3="Bad",1.33,1)))</f>
        <v/>
      </c>
      <c r="G3">
        <f>IFERROR(SPARKLINE(F3,{"charttype","bar";"max",3;"min",1;"color1",IF(F3=3,"#4078DD",IF(F3=2,"#9CB7E9","#CED9EF"))}),"")</f>
        <v/>
      </c>
      <c r="I3">
        <f>IFERROR(SPARKLINE(H3,{"charttype","bar";"max",3;"min",1;"color1",IF(H3=3,"#4078DD",IF(H3=2,"#9CB7E9","#CED9EF"))}),"")</f>
        <v/>
      </c>
      <c r="J3">
        <f>IF(H3=1,3,IF(H3=2,2,1))</f>
        <v/>
      </c>
      <c r="K3">
        <f>ROUNDUP(((J3+F3)*E3),1)</f>
        <v/>
      </c>
      <c r="L3" t="n">
        <v>8</v>
      </c>
      <c r="M3">
        <f>IFERROR(IF(A3=FALSE,SPARKLINE(K3:L3,{"charttype","bar";"max",8;"min",0;"color1",IF(K3&gt;=5,"green",IF(K3&lt;=3,"orange","#C9C21D"));"color2","#eeeeee"}),"Done"),"")</f>
        <v/>
      </c>
    </row>
    <row r="4">
      <c r="A4" t="b">
        <v>0</v>
      </c>
      <c r="B4" s="6" t="inlineStr">
        <is>
          <t>10-run consistency test per key query (monthly)</t>
        </is>
      </c>
      <c r="C4" s="6" t="inlineStr">
        <is>
          <t>Run each dream query 10x per LLM and track mention rate percentage</t>
        </is>
      </c>
      <c r="E4">
        <f>IF(D4="Not Relevant","",IF(D4="Good","",IF(D4="Bad",1.33,1)))</f>
        <v/>
      </c>
      <c r="G4">
        <f>IFERROR(SPARKLINE(F4,{"charttype","bar";"max",3;"min",1;"color1",IF(F4=3,"#4078DD",IF(F4=2,"#9CB7E9","#CED9EF"))}),"")</f>
        <v/>
      </c>
      <c r="I4">
        <f>IFERROR(SPARKLINE(H4,{"charttype","bar";"max",3;"min",1;"color1",IF(H4=3,"#4078DD",IF(H4=2,"#9CB7E9","#CED9EF"))}),"")</f>
        <v/>
      </c>
      <c r="J4">
        <f>IF(H4=1,3,IF(H4=2,2,1))</f>
        <v/>
      </c>
      <c r="K4">
        <f>ROUNDUP(((J4+F4)*E4),1)</f>
        <v/>
      </c>
      <c r="L4" t="n">
        <v>8</v>
      </c>
      <c r="M4">
        <f>IFERROR(IF(A4=FALSE,SPARKLINE(K4:L4,{"charttype","bar";"max",8;"min",0;"color1",IF(K4&gt;=5,"green",IF(K4&lt;=3,"orange","#C9C21D"));"color2","#eeeeee"}),"Done"),"")</f>
        <v/>
      </c>
    </row>
    <row r="5">
      <c r="A5" t="b">
        <v>0</v>
      </c>
      <c r="B5" s="6" t="inlineStr">
        <is>
          <t>Crawler log monitoring (OAI-SearchBot, ClaudeBot, PerplexityBot, GPTBot)</t>
        </is>
      </c>
      <c r="C5" s="6" t="inlineStr">
        <is>
          <t>Server logs filtered and alerting on AI crawler activity</t>
        </is>
      </c>
      <c r="E5">
        <f>IF(D5="Not Relevant","",IF(D5="Good","",IF(D5="Bad",1.33,1)))</f>
        <v/>
      </c>
      <c r="G5">
        <f>IFERROR(SPARKLINE(F5,{"charttype","bar";"max",3;"min",1;"color1",IF(F5=3,"#4078DD",IF(F5=2,"#9CB7E9","#CED9EF"))}),"")</f>
        <v/>
      </c>
      <c r="I5">
        <f>IFERROR(SPARKLINE(H5,{"charttype","bar";"max",3;"min",1;"color1",IF(H5=3,"#4078DD",IF(H5=2,"#9CB7E9","#CED9EF"))}),"")</f>
        <v/>
      </c>
      <c r="J5">
        <f>IF(H5=1,3,IF(H5=2,2,1))</f>
        <v/>
      </c>
      <c r="K5">
        <f>ROUNDUP(((J5+F5)*E5),1)</f>
        <v/>
      </c>
      <c r="L5" t="n">
        <v>8</v>
      </c>
      <c r="M5">
        <f>IFERROR(IF(A5=FALSE,SPARKLINE(K5:L5,{"charttype","bar";"max",8;"min",0;"color1",IF(K5&gt;=5,"green",IF(K5&lt;=3,"orange","#C9C21D"));"color2","#eeeeee"}),"Done"),"")</f>
        <v/>
      </c>
    </row>
    <row r="6">
      <c r="A6" t="b">
        <v>0</v>
      </c>
      <c r="B6" s="6" t="inlineStr">
        <is>
          <t>Cache freshness check using utm_source=openai fingerprint</t>
        </is>
      </c>
      <c r="C6" s="6" t="inlineStr">
        <is>
          <t>If ChatGPT citations include utm_source=openai the data is stale Bing cache</t>
        </is>
      </c>
      <c r="E6">
        <f>IF(D6="Not Relevant","",IF(D6="Good","",IF(D6="Bad",1.33,1)))</f>
        <v/>
      </c>
      <c r="G6">
        <f>IFERROR(SPARKLINE(F6,{"charttype","bar";"max",3;"min",1;"color1",IF(F6=3,"#4078DD",IF(F6=2,"#9CB7E9","#CED9EF"))}),"")</f>
        <v/>
      </c>
      <c r="I6">
        <f>IFERROR(SPARKLINE(H6,{"charttype","bar";"max",3;"min",1;"color1",IF(H6=3,"#4078DD",IF(H6=2,"#9CB7E9","#CED9EF"))}),"")</f>
        <v/>
      </c>
      <c r="J6">
        <f>IF(H6=1,3,IF(H6=2,2,1))</f>
        <v/>
      </c>
      <c r="K6">
        <f>ROUNDUP(((J6+F6)*E6),1)</f>
        <v/>
      </c>
      <c r="L6" t="n">
        <v>8</v>
      </c>
      <c r="M6">
        <f>IFERROR(IF(A6=FALSE,SPARKLINE(K6:L6,{"charttype","bar";"max",8;"min",0;"color1",IF(K6&gt;=5,"green",IF(K6&lt;=3,"orange","#C9C21D"));"color2","#eeeeee"}),"Done"),"")</f>
        <v/>
      </c>
    </row>
    <row r="7">
      <c r="A7" t="b">
        <v>0</v>
      </c>
      <c r="B7" s="6" t="inlineStr">
        <is>
          <t>GA4 AI referral tracking configured</t>
        </is>
      </c>
      <c r="C7" s="6" t="inlineStr">
        <is>
          <t>GA4 referral source report shows traffic from chatgpt.com, perplexity.ai</t>
        </is>
      </c>
      <c r="E7">
        <f>IF(D7="Not Relevant","",IF(D7="Good","",IF(D7="Bad",1.33,1)))</f>
        <v/>
      </c>
      <c r="G7">
        <f>IFERROR(SPARKLINE(F7,{"charttype","bar";"max",3;"min",1;"color1",IF(F7=3,"#4078DD",IF(F7=2,"#9CB7E9","#CED9EF"))}),"")</f>
        <v/>
      </c>
      <c r="I7">
        <f>IFERROR(SPARKLINE(H7,{"charttype","bar";"max",3;"min",1;"color1",IF(H7=3,"#4078DD",IF(H7=2,"#9CB7E9","#CED9EF"))}),"")</f>
        <v/>
      </c>
      <c r="J7">
        <f>IF(H7=1,3,IF(H7=2,2,1))</f>
        <v/>
      </c>
      <c r="K7">
        <f>ROUNDUP(((J7+F7)*E7),1)</f>
        <v/>
      </c>
      <c r="L7" t="n">
        <v>8</v>
      </c>
      <c r="M7">
        <f>IFERROR(IF(A7=FALSE,SPARKLINE(K7:L7,{"charttype","bar";"max",8;"min",0;"color1",IF(K7&gt;=5,"green",IF(K7&lt;=3,"orange","#C9C21D"));"color2","#eeeeee"}),"Done"),"")</f>
        <v/>
      </c>
    </row>
    <row r="8">
      <c r="A8" t="b">
        <v>0</v>
      </c>
      <c r="B8" s="6" t="inlineStr">
        <is>
          <t>Competitor LLM presence monitored monthly</t>
        </is>
      </c>
      <c r="C8" s="6" t="inlineStr">
        <is>
          <t>Track which competitors appear in responses to your category queries</t>
        </is>
      </c>
      <c r="E8">
        <f>IF(D8="Not Relevant","",IF(D8="Good","",IF(D8="Bad",1.33,1)))</f>
        <v/>
      </c>
      <c r="G8">
        <f>IFERROR(SPARKLINE(F8,{"charttype","bar";"max",3;"min",1;"color1",IF(F8=3,"#4078DD",IF(F8=2,"#9CB7E9","#CED9EF"))}),"")</f>
        <v/>
      </c>
      <c r="I8">
        <f>IFERROR(SPARKLINE(H8,{"charttype","bar";"max",3;"min",1;"color1",IF(H8=3,"#4078DD",IF(H8=2,"#9CB7E9","#CED9EF"))}),"")</f>
        <v/>
      </c>
      <c r="J8">
        <f>IF(H8=1,3,IF(H8=2,2,1))</f>
        <v/>
      </c>
      <c r="K8">
        <f>ROUNDUP(((J8+F8)*E8),1)</f>
        <v/>
      </c>
      <c r="L8" t="n">
        <v>8</v>
      </c>
      <c r="M8">
        <f>IFERROR(IF(A8=FALSE,SPARKLINE(K8:L8,{"charttype","bar";"max",8;"min",0;"color1",IF(K8&gt;=5,"green",IF(K8&lt;=3,"orange","#C9C21D"));"color2","#eeeeee"}),"Done"),"")</f>
        <v/>
      </c>
    </row>
    <row r="9">
      <c r="A9" t="b">
        <v>0</v>
      </c>
      <c r="B9" s="6" t="inlineStr">
        <is>
          <t>Hallucination baseline documented</t>
        </is>
      </c>
      <c r="C9" s="6" t="inlineStr">
        <is>
          <t>Record any inaccurate claims LLMs make about your brand as a baseline</t>
        </is>
      </c>
      <c r="E9">
        <f>IF(D9="Not Relevant","",IF(D9="Good","",IF(D9="Bad",1.33,1)))</f>
        <v/>
      </c>
      <c r="G9">
        <f>IFERROR(SPARKLINE(F9,{"charttype","bar";"max",3;"min",1;"color1",IF(F9=3,"#4078DD",IF(F9=2,"#9CB7E9","#CED9EF"))}),"")</f>
        <v/>
      </c>
      <c r="I9">
        <f>IFERROR(SPARKLINE(H9,{"charttype","bar";"max",3;"min",1;"color1",IF(H9=3,"#4078DD",IF(H9=2,"#9CB7E9","#CED9EF"))}),"")</f>
        <v/>
      </c>
      <c r="J9">
        <f>IF(H9=1,3,IF(H9=2,2,1))</f>
        <v/>
      </c>
      <c r="K9">
        <f>ROUNDUP(((J9+F9)*E9),1)</f>
        <v/>
      </c>
      <c r="L9" t="n">
        <v>8</v>
      </c>
      <c r="M9">
        <f>IFERROR(IF(A9=FALSE,SPARKLINE(K9:L9,{"charttype","bar";"max",8;"min",0;"color1",IF(K9&gt;=5,"green",IF(K9&lt;=3,"orange","#C9C21D"));"color2","#eeeeee"}),"Done"),"")</f>
        <v/>
      </c>
    </row>
    <row r="10">
      <c r="A10" t="b">
        <v>0</v>
      </c>
      <c r="B10" s="6" t="inlineStr">
        <is>
          <t>Accuracy scoring per query tracked</t>
        </is>
      </c>
      <c r="C10" s="6" t="inlineStr">
        <is>
          <t>Score each LLM response for factual accuracy on a 1-5 scale</t>
        </is>
      </c>
      <c r="E10">
        <f>IF(D10="Not Relevant","",IF(D10="Good","",IF(D10="Bad",1.33,1)))</f>
        <v/>
      </c>
      <c r="G10">
        <f>IFERROR(SPARKLINE(F10,{"charttype","bar";"max",3;"min",1;"color1",IF(F10=3,"#4078DD",IF(F10=2,"#9CB7E9","#CED9EF"))}),"")</f>
        <v/>
      </c>
      <c r="I10">
        <f>IFERROR(SPARKLINE(H10,{"charttype","bar";"max",3;"min",1;"color1",IF(H10=3,"#4078DD",IF(H10=2,"#9CB7E9","#CED9EF"))}),"")</f>
        <v/>
      </c>
      <c r="J10">
        <f>IF(H10=1,3,IF(H10=2,2,1))</f>
        <v/>
      </c>
      <c r="K10">
        <f>ROUNDUP(((J10+F10)*E10),1)</f>
        <v/>
      </c>
      <c r="L10" t="n">
        <v>8</v>
      </c>
      <c r="M10">
        <f>IFERROR(IF(A10=FALSE,SPARKLINE(K10:L10,{"charttype","bar";"max",8;"min",0;"color1",IF(K10&gt;=5,"green",IF(K10&lt;=3,"orange","#C9C21D"));"color2","#eeeeee"}),"Done"),"")</f>
        <v/>
      </c>
    </row>
    <row r="11">
      <c r="A11" t="b">
        <v>0</v>
      </c>
      <c r="B11" s="6" t="inlineStr">
        <is>
          <t>Citation source analysis completed</t>
        </is>
      </c>
      <c r="C11" s="6" t="inlineStr">
        <is>
          <t>Document which sources LLMs cite when mentioning your brand or category</t>
        </is>
      </c>
      <c r="E11">
        <f>IF(D11="Not Relevant","",IF(D11="Good","",IF(D11="Bad",1.33,1)))</f>
        <v/>
      </c>
      <c r="G11">
        <f>IFERROR(SPARKLINE(F11,{"charttype","bar";"max",3;"min",1;"color1",IF(F11=3,"#4078DD",IF(F11=2,"#9CB7E9","#CED9EF"))}),"")</f>
        <v/>
      </c>
      <c r="I11">
        <f>IFERROR(SPARKLINE(H11,{"charttype","bar";"max",3;"min",1;"color1",IF(H11=3,"#4078DD",IF(H11=2,"#9CB7E9","#CED9EF"))}),"")</f>
        <v/>
      </c>
      <c r="J11">
        <f>IF(H11=1,3,IF(H11=2,2,1))</f>
        <v/>
      </c>
      <c r="K11">
        <f>ROUNDUP(((J11+F11)*E11),1)</f>
        <v/>
      </c>
      <c r="L11" t="n">
        <v>8</v>
      </c>
      <c r="M11">
        <f>IFERROR(IF(A11=FALSE,SPARKLINE(K11:L11,{"charttype","bar";"max",8;"min",0;"color1",IF(K11&gt;=5,"green",IF(K11&lt;=3,"orange","#C9C21D"));"color2","#eeeeee"}),"Done"),"")</f>
        <v/>
      </c>
    </row>
    <row r="12">
      <c r="A12" t="b">
        <v>0</v>
      </c>
      <c r="B12" s="6" t="inlineStr">
        <is>
          <t>Sentinel alerts configured for misinformation or competitor dominance</t>
        </is>
      </c>
      <c r="C12" s="6" t="inlineStr">
        <is>
          <t>Automated workflow to detect negative changes in LLM responses</t>
        </is>
      </c>
      <c r="E12">
        <f>IF(D12="Not Relevant","",IF(D12="Good","",IF(D12="Bad",1.33,1)))</f>
        <v/>
      </c>
      <c r="G12">
        <f>IFERROR(SPARKLINE(F12,{"charttype","bar";"max",3;"min",1;"color1",IF(F12=3,"#4078DD",IF(F12=2,"#9CB7E9","#CED9EF"))}),"")</f>
        <v/>
      </c>
      <c r="I12">
        <f>IFERROR(SPARKLINE(H12,{"charttype","bar";"max",3;"min",1;"color1",IF(H12=3,"#4078DD",IF(H12=2,"#9CB7E9","#CED9EF"))}),"")</f>
        <v/>
      </c>
      <c r="J12">
        <f>IF(H12=1,3,IF(H12=2,2,1))</f>
        <v/>
      </c>
      <c r="K12">
        <f>ROUNDUP(((J12+F12)*E12),1)</f>
        <v/>
      </c>
      <c r="L12" t="n">
        <v>8</v>
      </c>
      <c r="M12">
        <f>IFERROR(IF(A12=FALSE,SPARKLINE(K12:L12,{"charttype","bar";"max",8;"min",0;"color1",IF(K12&gt;=5,"green",IF(K12&lt;=3,"orange","#C9C21D"));"color2","#eeeeee"}),"Done"),"")</f>
        <v/>
      </c>
    </row>
    <row r="13">
      <c r="A13" t="b">
        <v>0</v>
      </c>
      <c r="B13" s="6" t="inlineStr">
        <is>
          <t>Stale page force-fetch workflow documented</t>
        </is>
      </c>
      <c r="C13" s="6" t="inlineStr">
        <is>
          <t>Step-by-step runbook for forcing LLMs to re-read updated pages</t>
        </is>
      </c>
      <c r="E13">
        <f>IF(D13="Not Relevant","",IF(D13="Good","",IF(D13="Bad",1.33,1)))</f>
        <v/>
      </c>
      <c r="G13">
        <f>IFERROR(SPARKLINE(F13,{"charttype","bar";"max",3;"min",1;"color1",IF(F13=3,"#4078DD",IF(F13=2,"#9CB7E9","#CED9EF"))}),"")</f>
        <v/>
      </c>
      <c r="I13">
        <f>IFERROR(SPARKLINE(H13,{"charttype","bar";"max",3;"min",1;"color1",IF(H13=3,"#4078DD",IF(H13=2,"#9CB7E9","#CED9EF"))}),"")</f>
        <v/>
      </c>
      <c r="J13">
        <f>IF(H13=1,3,IF(H13=2,2,1))</f>
        <v/>
      </c>
      <c r="K13">
        <f>ROUNDUP(((J13+F13)*E13),1)</f>
        <v/>
      </c>
      <c r="L13" t="n">
        <v>8</v>
      </c>
      <c r="M13">
        <f>IFERROR(IF(A13=FALSE,SPARKLINE(K13:L13,{"charttype","bar";"max",8;"min",0;"color1",IF(K13&gt;=5,"green",IF(K13&lt;=3,"orange","#C9C21D"));"color2","#eeeeee"}),"Done"),"")</f>
        <v/>
      </c>
    </row>
    <row r="14">
      <c r="A14" t="b">
        <v>0</v>
      </c>
      <c r="B14" s="6" t="inlineStr">
        <is>
          <t>Quarterly strategy review scheduled</t>
        </is>
      </c>
      <c r="C14" s="6" t="inlineStr">
        <is>
          <t>Calendar reminder for full re-audit and strategy adjustment every 90 days</t>
        </is>
      </c>
      <c r="E14">
        <f>IF(D14="Not Relevant","",IF(D14="Good","",IF(D14="Bad",1.33,1)))</f>
        <v/>
      </c>
      <c r="G14">
        <f>IFERROR(SPARKLINE(F14,{"charttype","bar";"max",3;"min",1;"color1",IF(F14=3,"#4078DD",IF(F14=2,"#9CB7E9","#CED9EF"))}),"")</f>
        <v/>
      </c>
      <c r="I14">
        <f>IFERROR(SPARKLINE(H14,{"charttype","bar";"max",3;"min",1;"color1",IF(H14=3,"#4078DD",IF(H14=2,"#9CB7E9","#CED9EF"))}),"")</f>
        <v/>
      </c>
      <c r="J14">
        <f>IF(H14=1,3,IF(H14=2,2,1))</f>
        <v/>
      </c>
      <c r="K14">
        <f>ROUNDUP(((J14+F14)*E14),1)</f>
        <v/>
      </c>
      <c r="L14" t="n">
        <v>8</v>
      </c>
      <c r="M14">
        <f>IFERROR(IF(A14=FALSE,SPARKLINE(K14:L14,{"charttype","bar";"max",8;"min",0;"color1",IF(K14&gt;=5,"green",IF(K14&lt;=3,"orange","#C9C21D"));"color2","#eeeeee"}),"Done"),"")</f>
        <v/>
      </c>
    </row>
  </sheetData>
  <dataValidations count="1">
    <dataValidation sqref="D3:D14" showDropDown="0" showInputMessage="0" showErrorMessage="0" allowBlank="1" type="list">
      <formula1>"Good,Can be Improved,Bad,Not Relevant"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88" customWidth="1" min="1" max="1"/>
    <col width="79" customWidth="1" min="2" max="2"/>
    <col width="10.25" customWidth="1" min="3" max="3"/>
    <col width="17" customWidth="1" min="4" max="4"/>
    <col width="10.88" customWidth="1" min="5" max="5"/>
    <col width="6" customWidth="1" min="6" max="6"/>
    <col width="8" customWidth="1" min="7" max="7"/>
    <col width="6" customWidth="1" min="8" max="8"/>
    <col width="8" customWidth="1" min="9" max="9"/>
    <col width="10" customWidth="1" min="10" max="10"/>
    <col width="6" customWidth="1" min="11" max="11"/>
    <col width="5" customWidth="1" min="12" max="12"/>
    <col width="10" customWidth="1" min="13" max="13"/>
  </cols>
  <sheetData>
    <row r="1">
      <c r="A1" s="4" t="inlineStr"/>
      <c r="B1" s="4" t="inlineStr">
        <is>
          <t>Content Strategy - AEO Checkpoint</t>
        </is>
      </c>
      <c r="C1" s="4" t="inlineStr">
        <is>
          <t>Example</t>
        </is>
      </c>
      <c r="D1" s="4" t="inlineStr">
        <is>
          <t>Evaluation</t>
        </is>
      </c>
      <c r="E1" s="4" t="inlineStr">
        <is>
          <t>Factor</t>
        </is>
      </c>
      <c r="F1" s="4" t="inlineStr">
        <is>
          <t>Impact</t>
        </is>
      </c>
      <c r="G1" s="4" t="inlineStr">
        <is>
          <t>Impact</t>
        </is>
      </c>
      <c r="H1" s="4" t="inlineStr">
        <is>
          <t>Cost</t>
        </is>
      </c>
      <c r="I1" s="4" t="inlineStr">
        <is>
          <t>Cost</t>
        </is>
      </c>
      <c r="J1" s="4" t="inlineStr">
        <is>
          <t>Cost for Sum</t>
        </is>
      </c>
      <c r="K1" s="4" t="inlineStr">
        <is>
          <t>Sum</t>
        </is>
      </c>
      <c r="L1" s="4" t="inlineStr">
        <is>
          <t>Max</t>
        </is>
      </c>
      <c r="M1" s="4" t="inlineStr">
        <is>
          <t>Priority</t>
        </is>
      </c>
    </row>
    <row r="2">
      <c r="A2" s="5" t="n"/>
      <c r="B2" s="1" t="inlineStr">
        <is>
          <t>Content Strategy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b">
        <v>0</v>
      </c>
      <c r="B3" s="6" t="inlineStr">
        <is>
          <t>Dream queries identified (5-10 per client)</t>
        </is>
      </c>
      <c r="C3" s="6" t="inlineStr">
        <is>
          <t>"Best CRM for startups", "affordable sales automation"</t>
        </is>
      </c>
      <c r="E3">
        <f>IF(D3="Not Relevant","",IF(D3="Good","",IF(D3="Bad",1.33,1)))</f>
        <v/>
      </c>
      <c r="G3">
        <f>IFERROR(SPARKLINE(F3,{"charttype","bar";"max",3;"min",1;"color1",IF(F3=3,"#4078DD",IF(F3=2,"#9CB7E9","#CED9EF"))}),"")</f>
        <v/>
      </c>
      <c r="I3">
        <f>IFERROR(SPARKLINE(H3,{"charttype","bar";"max",3;"min",1;"color1",IF(H3=3,"#4078DD",IF(H3=2,"#9CB7E9","#CED9EF"))}),"")</f>
        <v/>
      </c>
      <c r="J3">
        <f>IF(H3=1,3,IF(H3=2,2,1))</f>
        <v/>
      </c>
      <c r="K3">
        <f>ROUNDUP(((J3+F3)*E3),1)</f>
        <v/>
      </c>
      <c r="L3" t="n">
        <v>8</v>
      </c>
      <c r="M3">
        <f>IFERROR(IF(A3=FALSE,SPARKLINE(K3:L3,{"charttype","bar";"max",8;"min",0;"color1",IF(K3&gt;=5,"green",IF(K3&lt;=3,"orange","#C9C21D"));"color2","#eeeeee"}),"Done"),"")</f>
        <v/>
      </c>
    </row>
    <row r="4">
      <c r="A4" t="b">
        <v>0</v>
      </c>
      <c r="B4" s="6" t="inlineStr">
        <is>
          <t>Pillar pages created for main topics</t>
        </is>
      </c>
      <c r="C4" s="6" t="inlineStr">
        <is>
          <t>/crm-for-startups with 2000+ words covering the topic comprehensively</t>
        </is>
      </c>
      <c r="E4">
        <f>IF(D4="Not Relevant","",IF(D4="Good","",IF(D4="Bad",1.33,1)))</f>
        <v/>
      </c>
      <c r="G4">
        <f>IFERROR(SPARKLINE(F4,{"charttype","bar";"max",3;"min",1;"color1",IF(F4=3,"#4078DD",IF(F4=2,"#9CB7E9","#CED9EF"))}),"")</f>
        <v/>
      </c>
      <c r="I4">
        <f>IFERROR(SPARKLINE(H4,{"charttype","bar";"max",3;"min",1;"color1",IF(H4=3,"#4078DD",IF(H4=2,"#9CB7E9","#CED9EF"))}),"")</f>
        <v/>
      </c>
      <c r="J4">
        <f>IF(H4=1,3,IF(H4=2,2,1))</f>
        <v/>
      </c>
      <c r="K4">
        <f>ROUNDUP(((J4+F4)*E4),1)</f>
        <v/>
      </c>
      <c r="L4" t="n">
        <v>8</v>
      </c>
      <c r="M4">
        <f>IFERROR(IF(A4=FALSE,SPARKLINE(K4:L4,{"charttype","bar";"max",8;"min",0;"color1",IF(K4&gt;=5,"green",IF(K4&lt;=3,"orange","#C9C21D"));"color2","#eeeeee"}),"Done"),"")</f>
        <v/>
      </c>
    </row>
    <row r="5">
      <c r="A5" t="b">
        <v>0</v>
      </c>
      <c r="B5" s="6" t="inlineStr">
        <is>
          <t>Comparison pages for top 5 competitors</t>
        </is>
      </c>
      <c r="C5" s="6" t="inlineStr">
        <is>
          <t>/vs/salesforce and /vs/hubspot with feature-by-feature HTML tables</t>
        </is>
      </c>
      <c r="E5">
        <f>IF(D5="Not Relevant","",IF(D5="Good","",IF(D5="Bad",1.33,1)))</f>
        <v/>
      </c>
      <c r="G5">
        <f>IFERROR(SPARKLINE(F5,{"charttype","bar";"max",3;"min",1;"color1",IF(F5=3,"#4078DD",IF(F5=2,"#9CB7E9","#CED9EF"))}),"")</f>
        <v/>
      </c>
      <c r="I5">
        <f>IFERROR(SPARKLINE(H5,{"charttype","bar";"max",3;"min",1;"color1",IF(H5=3,"#4078DD",IF(H5=2,"#9CB7E9","#CED9EF"))}),"")</f>
        <v/>
      </c>
      <c r="J5">
        <f>IF(H5=1,3,IF(H5=2,2,1))</f>
        <v/>
      </c>
      <c r="K5">
        <f>ROUNDUP(((J5+F5)*E5),1)</f>
        <v/>
      </c>
      <c r="L5" t="n">
        <v>8</v>
      </c>
      <c r="M5">
        <f>IFERROR(IF(A5=FALSE,SPARKLINE(K5:L5,{"charttype","bar";"max",8;"min",0;"color1",IF(K5&gt;=5,"green",IF(K5&lt;=3,"orange","#C9C21D"));"color2","#eeeeee"}),"Done"),"")</f>
        <v/>
      </c>
    </row>
    <row r="6">
      <c r="A6" t="b">
        <v>0</v>
      </c>
      <c r="B6" s="6" t="inlineStr">
        <is>
          <t>Feature and use case pages created</t>
        </is>
      </c>
      <c r="C6" s="6" t="inlineStr">
        <is>
          <t>/features/reporting and /use-cases/saas-companies</t>
        </is>
      </c>
      <c r="E6">
        <f>IF(D6="Not Relevant","",IF(D6="Good","",IF(D6="Bad",1.33,1)))</f>
        <v/>
      </c>
      <c r="G6">
        <f>IFERROR(SPARKLINE(F6,{"charttype","bar";"max",3;"min",1;"color1",IF(F6=3,"#4078DD",IF(F6=2,"#9CB7E9","#CED9EF"))}),"")</f>
        <v/>
      </c>
      <c r="I6">
        <f>IFERROR(SPARKLINE(H6,{"charttype","bar";"max",3;"min",1;"color1",IF(H6=3,"#4078DD",IF(H6=2,"#9CB7E9","#CED9EF"))}),"")</f>
        <v/>
      </c>
      <c r="J6">
        <f>IF(H6=1,3,IF(H6=2,2,1))</f>
        <v/>
      </c>
      <c r="K6">
        <f>ROUNDUP(((J6+F6)*E6),1)</f>
        <v/>
      </c>
      <c r="L6" t="n">
        <v>8</v>
      </c>
      <c r="M6">
        <f>IFERROR(IF(A6=FALSE,SPARKLINE(K6:L6,{"charttype","bar";"max",8;"min",0;"color1",IF(K6&gt;=5,"green",IF(K6&lt;=3,"orange","#C9C21D"));"color2","#eeeeee"}),"Done"),"")</f>
        <v/>
      </c>
    </row>
    <row r="7">
      <c r="A7" t="b">
        <v>0</v>
      </c>
      <c r="B7" s="6" t="inlineStr">
        <is>
          <t>/pricing page with clear tiers in HTML text</t>
        </is>
      </c>
      <c r="C7" s="6" t="inlineStr">
        <is>
          <t>Starter $49/mo, Pro $99/mo, Enterprise $299/mo in a table</t>
        </is>
      </c>
      <c r="E7">
        <f>IF(D7="Not Relevant","",IF(D7="Good","",IF(D7="Bad",1.33,1)))</f>
        <v/>
      </c>
      <c r="G7">
        <f>IFERROR(SPARKLINE(F7,{"charttype","bar";"max",3;"min",1;"color1",IF(F7=3,"#4078DD",IF(F7=2,"#9CB7E9","#CED9EF"))}),"")</f>
        <v/>
      </c>
      <c r="I7">
        <f>IFERROR(SPARKLINE(H7,{"charttype","bar";"max",3;"min",1;"color1",IF(H7=3,"#4078DD",IF(H7=2,"#9CB7E9","#CED9EF"))}),"")</f>
        <v/>
      </c>
      <c r="J7">
        <f>IF(H7=1,3,IF(H7=2,2,1))</f>
        <v/>
      </c>
      <c r="K7">
        <f>ROUNDUP(((J7+F7)*E7),1)</f>
        <v/>
      </c>
      <c r="L7" t="n">
        <v>8</v>
      </c>
      <c r="M7">
        <f>IFERROR(IF(A7=FALSE,SPARKLINE(K7:L7,{"charttype","bar";"max",8;"min",0;"color1",IF(K7&gt;=5,"green",IF(K7&lt;=3,"orange","#C9C21D"));"color2","#eeeeee"}),"Done"),"")</f>
        <v/>
      </c>
    </row>
    <row r="8">
      <c r="A8" t="b">
        <v>0</v>
      </c>
      <c r="B8" s="6" t="inlineStr">
        <is>
          <t>/features overview page with structured sections</t>
        </is>
      </c>
      <c r="C8" s="6" t="inlineStr">
        <is>
          <t>Each feature as H2 with description and specific metrics</t>
        </is>
      </c>
      <c r="E8">
        <f>IF(D8="Not Relevant","",IF(D8="Good","",IF(D8="Bad",1.33,1)))</f>
        <v/>
      </c>
      <c r="G8">
        <f>IFERROR(SPARKLINE(F8,{"charttype","bar";"max",3;"min",1;"color1",IF(F8=3,"#4078DD",IF(F8=2,"#9CB7E9","#CED9EF"))}),"")</f>
        <v/>
      </c>
      <c r="I8">
        <f>IFERROR(SPARKLINE(H8,{"charttype","bar";"max",3;"min",1;"color1",IF(H8=3,"#4078DD",IF(H8=2,"#9CB7E9","#CED9EF"))}),"")</f>
        <v/>
      </c>
      <c r="J8">
        <f>IF(H8=1,3,IF(H8=2,2,1))</f>
        <v/>
      </c>
      <c r="K8">
        <f>ROUNDUP(((J8+F8)*E8),1)</f>
        <v/>
      </c>
      <c r="L8" t="n">
        <v>8</v>
      </c>
      <c r="M8">
        <f>IFERROR(IF(A8=FALSE,SPARKLINE(K8:L8,{"charttype","bar";"max",8;"min",0;"color1",IF(K8&gt;=5,"green",IF(K8&lt;=3,"orange","#C9C21D"));"color2","#eeeeee"}),"Done"),"")</f>
        <v/>
      </c>
    </row>
    <row r="9">
      <c r="A9" t="b">
        <v>0</v>
      </c>
      <c r="B9" s="6" t="inlineStr">
        <is>
          <t>Glossary terms for industry keywords</t>
        </is>
      </c>
      <c r="C9" s="6" t="inlineStr">
        <is>
          <t>/glossary/sales-automation with clear definitions LLMs can extract</t>
        </is>
      </c>
      <c r="E9">
        <f>IF(D9="Not Relevant","",IF(D9="Good","",IF(D9="Bad",1.33,1)))</f>
        <v/>
      </c>
      <c r="G9">
        <f>IFERROR(SPARKLINE(F9,{"charttype","bar";"max",3;"min",1;"color1",IF(F9=3,"#4078DD",IF(F9=2,"#9CB7E9","#CED9EF"))}),"")</f>
        <v/>
      </c>
      <c r="I9">
        <f>IFERROR(SPARKLINE(H9,{"charttype","bar";"max",3;"min",1;"color1",IF(H9=3,"#4078DD",IF(H9=2,"#9CB7E9","#CED9EF"))}),"")</f>
        <v/>
      </c>
      <c r="J9">
        <f>IF(H9=1,3,IF(H9=2,2,1))</f>
        <v/>
      </c>
      <c r="K9">
        <f>ROUNDUP(((J9+F9)*E9),1)</f>
        <v/>
      </c>
      <c r="L9" t="n">
        <v>8</v>
      </c>
      <c r="M9">
        <f>IFERROR(IF(A9=FALSE,SPARKLINE(K9:L9,{"charttype","bar";"max",8;"min",0;"color1",IF(K9&gt;=5,"green",IF(K9&lt;=3,"orange","#C9C21D"));"color2","#eeeeee"}),"Done"),"")</f>
        <v/>
      </c>
    </row>
    <row r="10">
      <c r="A10" t="b">
        <v>0</v>
      </c>
      <c r="B10" s="6" t="inlineStr">
        <is>
          <t>Zero-volume keywords researched (forums, support tickets, Reddit)</t>
        </is>
      </c>
      <c r="C10" s="6" t="inlineStr">
        <is>
          <t>Identify questions people ask but don't search for on Google</t>
        </is>
      </c>
      <c r="E10">
        <f>IF(D10="Not Relevant","",IF(D10="Good","",IF(D10="Bad",1.33,1)))</f>
        <v/>
      </c>
      <c r="G10">
        <f>IFERROR(SPARKLINE(F10,{"charttype","bar";"max",3;"min",1;"color1",IF(F10=3,"#4078DD",IF(F10=2,"#9CB7E9","#CED9EF"))}),"")</f>
        <v/>
      </c>
      <c r="I10">
        <f>IFERROR(SPARKLINE(H10,{"charttype","bar";"max",3;"min",1;"color1",IF(H10=3,"#4078DD",IF(H10=2,"#9CB7E9","#CED9EF"))}),"")</f>
        <v/>
      </c>
      <c r="J10">
        <f>IF(H10=1,3,IF(H10=2,2,1))</f>
        <v/>
      </c>
      <c r="K10">
        <f>ROUNDUP(((J10+F10)*E10),1)</f>
        <v/>
      </c>
      <c r="L10" t="n">
        <v>8</v>
      </c>
      <c r="M10">
        <f>IFERROR(IF(A10=FALSE,SPARKLINE(K10:L10,{"charttype","bar";"max",8;"min",0;"color1",IF(K10&gt;=5,"green",IF(K10&lt;=3,"orange","#C9C21D"));"color2","#eeeeee"}),"Done"),"")</f>
        <v/>
      </c>
    </row>
    <row r="11">
      <c r="A11" t="b">
        <v>0</v>
      </c>
      <c r="B11" s="6" t="inlineStr">
        <is>
          <t>Content lifecycle phase identified (Create / Grow / Optimize / Expand)</t>
        </is>
      </c>
      <c r="C11" s="6" t="inlineStr">
        <is>
          <t>Map each page to its lifecycle stage to prioritize actions</t>
        </is>
      </c>
      <c r="E11">
        <f>IF(D11="Not Relevant","",IF(D11="Good","",IF(D11="Bad",1.33,1)))</f>
        <v/>
      </c>
      <c r="G11">
        <f>IFERROR(SPARKLINE(F11,{"charttype","bar";"max",3;"min",1;"color1",IF(F11=3,"#4078DD",IF(F11=2,"#9CB7E9","#CED9EF"))}),"")</f>
        <v/>
      </c>
      <c r="I11">
        <f>IFERROR(SPARKLINE(H11,{"charttype","bar";"max",3;"min",1;"color1",IF(H11=3,"#4078DD",IF(H11=2,"#9CB7E9","#CED9EF"))}),"")</f>
        <v/>
      </c>
      <c r="J11">
        <f>IF(H11=1,3,IF(H11=2,2,1))</f>
        <v/>
      </c>
      <c r="K11">
        <f>ROUNDUP(((J11+F11)*E11),1)</f>
        <v/>
      </c>
      <c r="L11" t="n">
        <v>8</v>
      </c>
      <c r="M11">
        <f>IFERROR(IF(A11=FALSE,SPARKLINE(K11:L11,{"charttype","bar";"max",8;"min",0;"color1",IF(K11&gt;=5,"green",IF(K11&lt;=3,"orange","#C9C21D"));"color2","#eeeeee"}),"Done"),"")</f>
        <v/>
      </c>
    </row>
    <row r="12">
      <c r="A12" t="b">
        <v>0</v>
      </c>
      <c r="B12" s="6" t="inlineStr">
        <is>
          <t>Content decay review scheduled quarterly</t>
        </is>
      </c>
      <c r="C12" s="6" t="inlineStr">
        <is>
          <t>Flag pages with declining traffic or outdated information</t>
        </is>
      </c>
      <c r="E12">
        <f>IF(D12="Not Relevant","",IF(D12="Good","",IF(D12="Bad",1.33,1)))</f>
        <v/>
      </c>
      <c r="G12">
        <f>IFERROR(SPARKLINE(F12,{"charttype","bar";"max",3;"min",1;"color1",IF(F12=3,"#4078DD",IF(F12=2,"#9CB7E9","#CED9EF"))}),"")</f>
        <v/>
      </c>
      <c r="I12">
        <f>IFERROR(SPARKLINE(H12,{"charttype","bar";"max",3;"min",1;"color1",IF(H12=3,"#4078DD",IF(H12=2,"#9CB7E9","#CED9EF"))}),"")</f>
        <v/>
      </c>
      <c r="J12">
        <f>IF(H12=1,3,IF(H12=2,2,1))</f>
        <v/>
      </c>
      <c r="K12">
        <f>ROUNDUP(((J12+F12)*E12),1)</f>
        <v/>
      </c>
      <c r="L12" t="n">
        <v>8</v>
      </c>
      <c r="M12">
        <f>IFERROR(IF(A12=FALSE,SPARKLINE(K12:L12,{"charttype","bar";"max",8;"min",0;"color1",IF(K12&gt;=5,"green",IF(K12&lt;=3,"orange","#C9C21D"));"color2","#eeeeee"}),"Done"),"")</f>
        <v/>
      </c>
    </row>
    <row r="13">
      <c r="A13" t="b">
        <v>0</v>
      </c>
      <c r="B13" s="6" t="inlineStr">
        <is>
          <t>Data study planned with original research</t>
        </is>
      </c>
      <c r="C13" s="6" t="inlineStr">
        <is>
          <t>Survey or analysis producing unique statistics others will cite</t>
        </is>
      </c>
      <c r="E13">
        <f>IF(D13="Not Relevant","",IF(D13="Good","",IF(D13="Bad",1.33,1)))</f>
        <v/>
      </c>
      <c r="G13">
        <f>IFERROR(SPARKLINE(F13,{"charttype","bar";"max",3;"min",1;"color1",IF(F13=3,"#4078DD",IF(F13=2,"#9CB7E9","#CED9EF"))}),"")</f>
        <v/>
      </c>
      <c r="I13">
        <f>IFERROR(SPARKLINE(H13,{"charttype","bar";"max",3;"min",1;"color1",IF(H13=3,"#4078DD",IF(H13=2,"#9CB7E9","#CED9EF"))}),"")</f>
        <v/>
      </c>
      <c r="J13">
        <f>IF(H13=1,3,IF(H13=2,2,1))</f>
        <v/>
      </c>
      <c r="K13">
        <f>ROUNDUP(((J13+F13)*E13),1)</f>
        <v/>
      </c>
      <c r="L13" t="n">
        <v>8</v>
      </c>
      <c r="M13">
        <f>IFERROR(IF(A13=FALSE,SPARKLINE(K13:L13,{"charttype","bar";"max",8;"min",0;"color1",IF(K13&gt;=5,"green",IF(K13&lt;=3,"orange","#C9C21D"));"color2","#eeeeee"}),"Done"),"")</f>
        <v/>
      </c>
    </row>
    <row r="14">
      <c r="A14" t="b">
        <v>0</v>
      </c>
      <c r="B14" s="6" t="inlineStr">
        <is>
          <t>Integration partner pages created</t>
        </is>
      </c>
      <c r="C14" s="6" t="inlineStr">
        <is>
          <t>/integrations/slack and /integrations/zapier with setup details</t>
        </is>
      </c>
      <c r="E14">
        <f>IF(D14="Not Relevant","",IF(D14="Good","",IF(D14="Bad",1.33,1)))</f>
        <v/>
      </c>
      <c r="G14">
        <f>IFERROR(SPARKLINE(F14,{"charttype","bar";"max",3;"min",1;"color1",IF(F14=3,"#4078DD",IF(F14=2,"#9CB7E9","#CED9EF"))}),"")</f>
        <v/>
      </c>
      <c r="I14">
        <f>IFERROR(SPARKLINE(H14,{"charttype","bar";"max",3;"min",1;"color1",IF(H14=3,"#4078DD",IF(H14=2,"#9CB7E9","#CED9EF"))}),"")</f>
        <v/>
      </c>
      <c r="J14">
        <f>IF(H14=1,3,IF(H14=2,2,1))</f>
        <v/>
      </c>
      <c r="K14">
        <f>ROUNDUP(((J14+F14)*E14),1)</f>
        <v/>
      </c>
      <c r="L14" t="n">
        <v>8</v>
      </c>
      <c r="M14">
        <f>IFERROR(IF(A14=FALSE,SPARKLINE(K14:L14,{"charttype","bar";"max",8;"min",0;"color1",IF(K14&gt;=5,"green",IF(K14&lt;=3,"orange","#C9C21D"));"color2","#eeeeee"}),"Done"),"")</f>
        <v/>
      </c>
    </row>
  </sheetData>
  <dataValidations count="1">
    <dataValidation sqref="D3:D14" showDropDown="0" showInputMessage="0" showErrorMessage="0" allowBlank="1" type="list">
      <formula1>"Good,Can be Improved,Bad,Not Relevant"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88" customWidth="1" min="1" max="1"/>
    <col width="79" customWidth="1" min="2" max="2"/>
    <col width="10.25" customWidth="1" min="3" max="3"/>
    <col width="17" customWidth="1" min="4" max="4"/>
    <col width="10.88" customWidth="1" min="5" max="5"/>
    <col width="6" customWidth="1" min="6" max="6"/>
    <col width="8" customWidth="1" min="7" max="7"/>
    <col width="6" customWidth="1" min="8" max="8"/>
    <col width="8" customWidth="1" min="9" max="9"/>
    <col width="10" customWidth="1" min="10" max="10"/>
    <col width="6" customWidth="1" min="11" max="11"/>
    <col width="5" customWidth="1" min="12" max="12"/>
    <col width="10" customWidth="1" min="13" max="13"/>
  </cols>
  <sheetData>
    <row r="1">
      <c r="A1" s="4" t="inlineStr"/>
      <c r="B1" s="4" t="inlineStr">
        <is>
          <t>Competitive Intelligence - AEO Checkpoint</t>
        </is>
      </c>
      <c r="C1" s="4" t="inlineStr">
        <is>
          <t>Example</t>
        </is>
      </c>
      <c r="D1" s="4" t="inlineStr">
        <is>
          <t>Evaluation</t>
        </is>
      </c>
      <c r="E1" s="4" t="inlineStr">
        <is>
          <t>Factor</t>
        </is>
      </c>
      <c r="F1" s="4" t="inlineStr">
        <is>
          <t>Impact</t>
        </is>
      </c>
      <c r="G1" s="4" t="inlineStr">
        <is>
          <t>Impact</t>
        </is>
      </c>
      <c r="H1" s="4" t="inlineStr">
        <is>
          <t>Cost</t>
        </is>
      </c>
      <c r="I1" s="4" t="inlineStr">
        <is>
          <t>Cost</t>
        </is>
      </c>
      <c r="J1" s="4" t="inlineStr">
        <is>
          <t>Cost for Sum</t>
        </is>
      </c>
      <c r="K1" s="4" t="inlineStr">
        <is>
          <t>Sum</t>
        </is>
      </c>
      <c r="L1" s="4" t="inlineStr">
        <is>
          <t>Max</t>
        </is>
      </c>
      <c r="M1" s="4" t="inlineStr">
        <is>
          <t>Priority</t>
        </is>
      </c>
    </row>
    <row r="2">
      <c r="A2" s="5" t="n"/>
      <c r="B2" s="1" t="inlineStr">
        <is>
          <t>Competitive Intelligence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t="b">
        <v>0</v>
      </c>
      <c r="B3" s="6" t="inlineStr">
        <is>
          <t>Top 5 competitors identified via LLM queries</t>
        </is>
      </c>
      <c r="C3" s="6" t="inlineStr">
        <is>
          <t>Ask "Best [category]" on each LLM and document which brands appear</t>
        </is>
      </c>
      <c r="E3">
        <f>IF(D3="Not Relevant","",IF(D3="Good","",IF(D3="Bad",1.33,1)))</f>
        <v/>
      </c>
      <c r="G3">
        <f>IFERROR(SPARKLINE(F3,{"charttype","bar";"max",3;"min",1;"color1",IF(F3=3,"#4078DD",IF(F3=2,"#9CB7E9","#CED9EF"))}),"")</f>
        <v/>
      </c>
      <c r="I3">
        <f>IFERROR(SPARKLINE(H3,{"charttype","bar";"max",3;"min",1;"color1",IF(H3=3,"#4078DD",IF(H3=2,"#9CB7E9","#CED9EF"))}),"")</f>
        <v/>
      </c>
      <c r="J3">
        <f>IF(H3=1,3,IF(H3=2,2,1))</f>
        <v/>
      </c>
      <c r="K3">
        <f>ROUNDUP(((J3+F3)*E3),1)</f>
        <v/>
      </c>
      <c r="L3" t="n">
        <v>8</v>
      </c>
      <c r="M3">
        <f>IFERROR(IF(A3=FALSE,SPARKLINE(K3:L3,{"charttype","bar";"max",8;"min",0;"color1",IF(K3&gt;=5,"green",IF(K3&lt;=3,"orange","#C9C21D"));"color2","#eeeeee"}),"Done"),"")</f>
        <v/>
      </c>
    </row>
    <row r="4">
      <c r="A4" t="b">
        <v>0</v>
      </c>
      <c r="B4" s="6" t="inlineStr">
        <is>
          <t>Competitor LLM visibility audited</t>
        </is>
      </c>
      <c r="C4" s="6" t="inlineStr">
        <is>
          <t>Run same discovery queries for competitors and compare mention rates</t>
        </is>
      </c>
      <c r="E4">
        <f>IF(D4="Not Relevant","",IF(D4="Good","",IF(D4="Bad",1.33,1)))</f>
        <v/>
      </c>
      <c r="G4">
        <f>IFERROR(SPARKLINE(F4,{"charttype","bar";"max",3;"min",1;"color1",IF(F4=3,"#4078DD",IF(F4=2,"#9CB7E9","#CED9EF"))}),"")</f>
        <v/>
      </c>
      <c r="I4">
        <f>IFERROR(SPARKLINE(H4,{"charttype","bar";"max",3;"min",1;"color1",IF(H4=3,"#4078DD",IF(H4=2,"#9CB7E9","#CED9EF"))}),"")</f>
        <v/>
      </c>
      <c r="J4">
        <f>IF(H4=1,3,IF(H4=2,2,1))</f>
        <v/>
      </c>
      <c r="K4">
        <f>ROUNDUP(((J4+F4)*E4),1)</f>
        <v/>
      </c>
      <c r="L4" t="n">
        <v>8</v>
      </c>
      <c r="M4">
        <f>IFERROR(IF(A4=FALSE,SPARKLINE(K4:L4,{"charttype","bar";"max",8;"min",0;"color1",IF(K4&gt;=5,"green",IF(K4&lt;=3,"orange","#C9C21D"));"color2","#eeeeee"}),"Done"),"")</f>
        <v/>
      </c>
    </row>
    <row r="5">
      <c r="A5" t="b">
        <v>0</v>
      </c>
      <c r="B5" s="6" t="inlineStr">
        <is>
          <t>Keyword gap analysis completed (DataForSEO or similar)</t>
        </is>
      </c>
      <c r="C5" s="6" t="inlineStr">
        <is>
          <t>Identify keywords competitors rank for that you don't</t>
        </is>
      </c>
      <c r="E5">
        <f>IF(D5="Not Relevant","",IF(D5="Good","",IF(D5="Bad",1.33,1)))</f>
        <v/>
      </c>
      <c r="G5">
        <f>IFERROR(SPARKLINE(F5,{"charttype","bar";"max",3;"min",1;"color1",IF(F5=3,"#4078DD",IF(F5=2,"#9CB7E9","#CED9EF"))}),"")</f>
        <v/>
      </c>
      <c r="I5">
        <f>IFERROR(SPARKLINE(H5,{"charttype","bar";"max",3;"min",1;"color1",IF(H5=3,"#4078DD",IF(H5=2,"#9CB7E9","#CED9EF"))}),"")</f>
        <v/>
      </c>
      <c r="J5">
        <f>IF(H5=1,3,IF(H5=2,2,1))</f>
        <v/>
      </c>
      <c r="K5">
        <f>ROUNDUP(((J5+F5)*E5),1)</f>
        <v/>
      </c>
      <c r="L5" t="n">
        <v>8</v>
      </c>
      <c r="M5">
        <f>IFERROR(IF(A5=FALSE,SPARKLINE(K5:L5,{"charttype","bar";"max",8;"min",0;"color1",IF(K5&gt;=5,"green",IF(K5&lt;=3,"orange","#C9C21D"));"color2","#eeeeee"}),"Done"),"")</f>
        <v/>
      </c>
    </row>
    <row r="6">
      <c r="A6" t="b">
        <v>0</v>
      </c>
      <c r="B6" s="6" t="inlineStr">
        <is>
          <t>vs comparison pages created for each competitor</t>
        </is>
      </c>
      <c r="C6" s="6" t="inlineStr">
        <is>
          <t>/vs/competitor-name with honest feature and pricing comparison tables</t>
        </is>
      </c>
      <c r="E6">
        <f>IF(D6="Not Relevant","",IF(D6="Good","",IF(D6="Bad",1.33,1)))</f>
        <v/>
      </c>
      <c r="G6">
        <f>IFERROR(SPARKLINE(F6,{"charttype","bar";"max",3;"min",1;"color1",IF(F6=3,"#4078DD",IF(F6=2,"#9CB7E9","#CED9EF"))}),"")</f>
        <v/>
      </c>
      <c r="I6">
        <f>IFERROR(SPARKLINE(H6,{"charttype","bar";"max",3;"min",1;"color1",IF(H6=3,"#4078DD",IF(H6=2,"#9CB7E9","#CED9EF"))}),"")</f>
        <v/>
      </c>
      <c r="J6">
        <f>IF(H6=1,3,IF(H6=2,2,1))</f>
        <v/>
      </c>
      <c r="K6">
        <f>ROUNDUP(((J6+F6)*E6),1)</f>
        <v/>
      </c>
      <c r="L6" t="n">
        <v>8</v>
      </c>
      <c r="M6">
        <f>IFERROR(IF(A6=FALSE,SPARKLINE(K6:L6,{"charttype","bar";"max",8;"min",0;"color1",IF(K6&gt;=5,"green",IF(K6&lt;=3,"orange","#C9C21D"));"color2","#eeeeee"}),"Done"),"")</f>
        <v/>
      </c>
    </row>
    <row r="7">
      <c r="A7" t="b">
        <v>0</v>
      </c>
      <c r="B7" s="6" t="inlineStr">
        <is>
          <t>Competitor weaknesses documented from LLM responses</t>
        </is>
      </c>
      <c r="C7" s="6" t="inlineStr">
        <is>
          <t>Note where LLMs mention competitor limitations or negative sentiment</t>
        </is>
      </c>
      <c r="E7">
        <f>IF(D7="Not Relevant","",IF(D7="Good","",IF(D7="Bad",1.33,1)))</f>
        <v/>
      </c>
      <c r="G7">
        <f>IFERROR(SPARKLINE(F7,{"charttype","bar";"max",3;"min",1;"color1",IF(F7=3,"#4078DD",IF(F7=2,"#9CB7E9","#CED9EF"))}),"")</f>
        <v/>
      </c>
      <c r="I7">
        <f>IFERROR(SPARKLINE(H7,{"charttype","bar";"max",3;"min",1;"color1",IF(H7=3,"#4078DD",IF(H7=2,"#9CB7E9","#CED9EF"))}),"")</f>
        <v/>
      </c>
      <c r="J7">
        <f>IF(H7=1,3,IF(H7=2,2,1))</f>
        <v/>
      </c>
      <c r="K7">
        <f>ROUNDUP(((J7+F7)*E7),1)</f>
        <v/>
      </c>
      <c r="L7" t="n">
        <v>8</v>
      </c>
      <c r="M7">
        <f>IFERROR(IF(A7=FALSE,SPARKLINE(K7:L7,{"charttype","bar";"max",8;"min",0;"color1",IF(K7&gt;=5,"green",IF(K7&lt;=3,"orange","#C9C21D"));"color2","#eeeeee"}),"Done"),"")</f>
        <v/>
      </c>
    </row>
    <row r="8">
      <c r="A8" t="b">
        <v>0</v>
      </c>
      <c r="B8" s="6" t="inlineStr">
        <is>
          <t>Content gaps identified and prioritized</t>
        </is>
      </c>
      <c r="C8" s="6" t="inlineStr">
        <is>
          <t>List topics competitors cover that you don't and rank by impact</t>
        </is>
      </c>
      <c r="E8">
        <f>IF(D8="Not Relevant","",IF(D8="Good","",IF(D8="Bad",1.33,1)))</f>
        <v/>
      </c>
      <c r="G8">
        <f>IFERROR(SPARKLINE(F8,{"charttype","bar";"max",3;"min",1;"color1",IF(F8=3,"#4078DD",IF(F8=2,"#9CB7E9","#CED9EF"))}),"")</f>
        <v/>
      </c>
      <c r="I8">
        <f>IFERROR(SPARKLINE(H8,{"charttype","bar";"max",3;"min",1;"color1",IF(H8=3,"#4078DD",IF(H8=2,"#9CB7E9","#CED9EF"))}),"")</f>
        <v/>
      </c>
      <c r="J8">
        <f>IF(H8=1,3,IF(H8=2,2,1))</f>
        <v/>
      </c>
      <c r="K8">
        <f>ROUNDUP(((J8+F8)*E8),1)</f>
        <v/>
      </c>
      <c r="L8" t="n">
        <v>8</v>
      </c>
      <c r="M8">
        <f>IFERROR(IF(A8=FALSE,SPARKLINE(K8:L8,{"charttype","bar";"max",8;"min",0;"color1",IF(K8&gt;=5,"green",IF(K8&lt;=3,"orange","#C9C21D"));"color2","#eeeeee"}),"Done"),"")</f>
        <v/>
      </c>
    </row>
    <row r="9">
      <c r="A9" t="b">
        <v>0</v>
      </c>
      <c r="B9" s="6" t="inlineStr">
        <is>
          <t>Share of voice tracked across LLMs</t>
        </is>
      </c>
      <c r="C9" s="6" t="inlineStr">
        <is>
          <t>Percentage of category queries where your brand is mentioned vs competitors</t>
        </is>
      </c>
      <c r="E9">
        <f>IF(D9="Not Relevant","",IF(D9="Good","",IF(D9="Bad",1.33,1)))</f>
        <v/>
      </c>
      <c r="G9">
        <f>IFERROR(SPARKLINE(F9,{"charttype","bar";"max",3;"min",1;"color1",IF(F9=3,"#4078DD",IF(F9=2,"#9CB7E9","#CED9EF"))}),"")</f>
        <v/>
      </c>
      <c r="I9">
        <f>IFERROR(SPARKLINE(H9,{"charttype","bar";"max",3;"min",1;"color1",IF(H9=3,"#4078DD",IF(H9=2,"#9CB7E9","#CED9EF"))}),"")</f>
        <v/>
      </c>
      <c r="J9">
        <f>IF(H9=1,3,IF(H9=2,2,1))</f>
        <v/>
      </c>
      <c r="K9">
        <f>ROUNDUP(((J9+F9)*E9),1)</f>
        <v/>
      </c>
      <c r="L9" t="n">
        <v>8</v>
      </c>
      <c r="M9">
        <f>IFERROR(IF(A9=FALSE,SPARKLINE(K9:L9,{"charttype","bar";"max",8;"min",0;"color1",IF(K9&gt;=5,"green",IF(K9&lt;=3,"orange","#C9C21D"));"color2","#eeeeee"}),"Done"),"")</f>
        <v/>
      </c>
    </row>
    <row r="10">
      <c r="A10" t="b">
        <v>0</v>
      </c>
      <c r="B10" s="6" t="inlineStr">
        <is>
          <t>Competitor new pages and features monitored</t>
        </is>
      </c>
      <c r="C10" s="6" t="inlineStr">
        <is>
          <t>Monthly check of competitor websites for new content or positioning changes</t>
        </is>
      </c>
      <c r="E10">
        <f>IF(D10="Not Relevant","",IF(D10="Good","",IF(D10="Bad",1.33,1)))</f>
        <v/>
      </c>
      <c r="G10">
        <f>IFERROR(SPARKLINE(F10,{"charttype","bar";"max",3;"min",1;"color1",IF(F10=3,"#4078DD",IF(F10=2,"#9CB7E9","#CED9EF"))}),"")</f>
        <v/>
      </c>
      <c r="I10">
        <f>IFERROR(SPARKLINE(H10,{"charttype","bar";"max",3;"min",1;"color1",IF(H10=3,"#4078DD",IF(H10=2,"#9CB7E9","#CED9EF"))}),"")</f>
        <v/>
      </c>
      <c r="J10">
        <f>IF(H10=1,3,IF(H10=2,2,1))</f>
        <v/>
      </c>
      <c r="K10">
        <f>ROUNDUP(((J10+F10)*E10),1)</f>
        <v/>
      </c>
      <c r="L10" t="n">
        <v>8</v>
      </c>
      <c r="M10">
        <f>IFERROR(IF(A10=FALSE,SPARKLINE(K10:L10,{"charttype","bar";"max",8;"min",0;"color1",IF(K10&gt;=5,"green",IF(K10&lt;=3,"orange","#C9C21D"));"color2","#eeeeee"}),"Done"),"")</f>
        <v/>
      </c>
    </row>
    <row r="11">
      <c r="A11" t="b">
        <v>0</v>
      </c>
      <c r="B11" s="6" t="inlineStr">
        <is>
          <t>Sources competitors get cited from identified</t>
        </is>
      </c>
      <c r="C11" s="6" t="inlineStr">
        <is>
          <t>Document which external sites LLMs use to cite competitor information</t>
        </is>
      </c>
      <c r="E11">
        <f>IF(D11="Not Relevant","",IF(D11="Good","",IF(D11="Bad",1.33,1)))</f>
        <v/>
      </c>
      <c r="G11">
        <f>IFERROR(SPARKLINE(F11,{"charttype","bar";"max",3;"min",1;"color1",IF(F11=3,"#4078DD",IF(F11=2,"#9CB7E9","#CED9EF"))}),"")</f>
        <v/>
      </c>
      <c r="I11">
        <f>IFERROR(SPARKLINE(H11,{"charttype","bar";"max",3;"min",1;"color1",IF(H11=3,"#4078DD",IF(H11=2,"#9CB7E9","#CED9EF"))}),"")</f>
        <v/>
      </c>
      <c r="J11">
        <f>IF(H11=1,3,IF(H11=2,2,1))</f>
        <v/>
      </c>
      <c r="K11">
        <f>ROUNDUP(((J11+F11)*E11),1)</f>
        <v/>
      </c>
      <c r="L11" t="n">
        <v>8</v>
      </c>
      <c r="M11">
        <f>IFERROR(IF(A11=FALSE,SPARKLINE(K11:L11,{"charttype","bar";"max",8;"min",0;"color1",IF(K11&gt;=5,"green",IF(K11&lt;=3,"orange","#C9C21D"));"color2","#eeeeee"}),"Done"),"")</f>
        <v/>
      </c>
    </row>
    <row r="12">
      <c r="A12" t="b">
        <v>0</v>
      </c>
      <c r="B12" s="6" t="inlineStr">
        <is>
          <t>Counter-content created for competitor-dominated queries</t>
        </is>
      </c>
      <c r="C12" s="6" t="inlineStr">
        <is>
          <t>Create better content targeting queries where competitors currently dominate</t>
        </is>
      </c>
      <c r="E12">
        <f>IF(D12="Not Relevant","",IF(D12="Good","",IF(D12="Bad",1.33,1)))</f>
        <v/>
      </c>
      <c r="G12">
        <f>IFERROR(SPARKLINE(F12,{"charttype","bar";"max",3;"min",1;"color1",IF(F12=3,"#4078DD",IF(F12=2,"#9CB7E9","#CED9EF"))}),"")</f>
        <v/>
      </c>
      <c r="I12">
        <f>IFERROR(SPARKLINE(H12,{"charttype","bar";"max",3;"min",1;"color1",IF(H12=3,"#4078DD",IF(H12=2,"#9CB7E9","#CED9EF"))}),"")</f>
        <v/>
      </c>
      <c r="J12">
        <f>IF(H12=1,3,IF(H12=2,2,1))</f>
        <v/>
      </c>
      <c r="K12">
        <f>ROUNDUP(((J12+F12)*E12),1)</f>
        <v/>
      </c>
      <c r="L12" t="n">
        <v>8</v>
      </c>
      <c r="M12">
        <f>IFERROR(IF(A12=FALSE,SPARKLINE(K12:L12,{"charttype","bar";"max",8;"min",0;"color1",IF(K12&gt;=5,"green",IF(K12&lt;=3,"orange","#C9C21D"));"color2","#eeeeee"}),"Done"),"")</f>
        <v/>
      </c>
    </row>
  </sheetData>
  <dataValidations count="1">
    <dataValidation sqref="D3:D12" showDropDown="0" showInputMessage="0" showErrorMessage="0" allowBlank="1" type="list">
      <formula1>"Good,Can be Improved,Bad,Not 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2026-01-28T10:48:24Z</dcterms:created>
  <dcterms:modified xsi:type="dcterms:W3CDTF">2026-01-28T10:48:24Z</dcterms:modified>
</cp:coreProperties>
</file>